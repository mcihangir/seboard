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957fe51e3fd944c4"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24226"/>
  <mc:AlternateContent xmlns:mc="http://schemas.openxmlformats.org/markup-compatibility/2006">
    <mc:Choice Requires="x15">
      <x15ac:absPath xmlns:x15ac="http://schemas.microsoft.com/office/spreadsheetml/2010/11/ac" url="D:\Project Tools\Unpacking_Tool\"/>
    </mc:Choice>
  </mc:AlternateContent>
  <xr:revisionPtr revIDLastSave="0" documentId="13_ncr:1_{1C90D696-325C-4FA5-A6D1-8EEA5C6B325F}" xr6:coauthVersionLast="47" xr6:coauthVersionMax="47" xr10:uidLastSave="{00000000-0000-0000-0000-000000000000}"/>
  <bookViews>
    <workbookView xWindow="-120" yWindow="-120" windowWidth="29040" windowHeight="15840" tabRatio="961" activeTab="4" xr2:uid="{00000000-000D-0000-FFFF-FFFF00000000}"/>
  </bookViews>
  <sheets>
    <sheet name="Rev. History" sheetId="4" r:id="rId1"/>
    <sheet name="User Instructions" sheetId="5" r:id="rId2"/>
    <sheet name="DSI and MDP registers" sheetId="6" r:id="rId3"/>
    <sheet name="DSI PHY timing setting" sheetId="7" r:id="rId4"/>
    <sheet name="DSI PHY 2.0.0 timing setting" sheetId="9" r:id="rId5"/>
    <sheet name="DSI PHY 3.0.0 DPHY timing" sheetId="15" r:id="rId6"/>
    <sheet name="DSI PHY 3.0.0 CPHY timing" sheetId="24" r:id="rId7"/>
    <sheet name="DSI PHY 4.0.0 DPHY timing" sheetId="16" r:id="rId8"/>
    <sheet name="DSI PHY 4.0.0 CPHY timing" sheetId="23" r:id="rId9"/>
    <sheet name="SDM439 DPHY timing" sheetId="17" r:id="rId10"/>
    <sheet name="T_HS_RQST" sheetId="18" state="hidden" r:id="rId11"/>
    <sheet name="GTP_clocklanes" sheetId="19" state="hidden" r:id="rId12"/>
    <sheet name="GTP_datalanes" sheetId="20" state="hidden" r:id="rId13"/>
    <sheet name="PREPARE_clocklanes" sheetId="21" state="hidden" r:id="rId14"/>
    <sheet name="PREPARE_datalanes" sheetId="22" state="hidden" r:id="rId15"/>
  </sheets>
  <definedNames>
    <definedName name="DATA_RATE">'SDM439 DPHY timing'!$B$3</definedName>
    <definedName name="DELTA">'SDM439 DPHY timing'!$B$75</definedName>
    <definedName name="gtp_extension_clklane">'SDM439 DPHY timing'!$E$14</definedName>
    <definedName name="gtp_extension_clklane_factor">'SDM439 DPHY timing'!$B$80</definedName>
    <definedName name="gtp_extension_datalane">'SDM439 DPHY timing'!$E$18</definedName>
    <definedName name="gtp_extension_datalanes_factor">'SDM439 DPHY timing'!$B$81</definedName>
    <definedName name="HSTX_POFF_TIME">'SDM439 DPHY timing'!$B$78</definedName>
    <definedName name="HSTX_TEN_DELAY">'SDM439 DPHY timing'!$B$77</definedName>
    <definedName name="hstxhstrail_datalanes">'SDM439 DPHY timing'!$E$20</definedName>
    <definedName name="hstxthsclkpost_clklane">'SDM439 DPHY timing'!$E$30</definedName>
    <definedName name="hstxthsexit_clklane">'SDM439 DPHY timing'!$E$23</definedName>
    <definedName name="hstxthsexit_datalanes">'SDM439 DPHY timing'!$E$22</definedName>
    <definedName name="hstxthsprpr_clklane">'SDM439 DPHY timing'!$E$13</definedName>
    <definedName name="hstxthsprpr_datalanes">'SDM439 DPHY timing'!$E$17</definedName>
    <definedName name="hstxthsrqst_clklane">'SDM439 DPHY timing'!$E$32</definedName>
    <definedName name="hstxthsrqst_datalanes">'SDM439 DPHY timing'!$E$21</definedName>
    <definedName name="hstxthstrail_clklane">'SDM439 DPHY timing'!$E$16</definedName>
    <definedName name="hstxthszero_clklane">'SDM439 DPHY timing'!$E$15</definedName>
    <definedName name="hstxthszero_datalanes">'SDM439 DPHY timing'!$E$19</definedName>
    <definedName name="LPRX_IO_DELAY_RISE">'SDM439 DPHY timing'!$B$82</definedName>
    <definedName name="LPTX_IO_FALL_DELAY">'SDM439 DPHY timing'!$B$79</definedName>
    <definedName name="LPTX_IO_RISE_FALL_DELTA">'SDM439 DPHY timing'!$B$83</definedName>
    <definedName name="PHI">'SDM439 DPHY timing'!$B$74</definedName>
    <definedName name="PHY_MAJOR_VERSION">'DSI and MDP registers'!$C$25</definedName>
    <definedName name="PHY_MODE">'DSI and MDP registers'!$C$28</definedName>
    <definedName name="PHY_TIMING_MARGIN">'DSI and MDP registers'!$C$31</definedName>
    <definedName name="_xlnm.Print_Area" localSheetId="2">'DSI and MDP registers'!$B$1:$J$144</definedName>
    <definedName name="_xlnm.Print_Area" localSheetId="4">'DSI PHY 2.0.0 timing setting'!$A$1:$K$70</definedName>
    <definedName name="_xlnm.Print_Area" localSheetId="5">'DSI PHY 3.0.0 DPHY timing'!$A$1:$J$65</definedName>
    <definedName name="_xlnm.Print_Area" localSheetId="3">'DSI PHY timing setting'!$A$1:$K$52</definedName>
    <definedName name="_xlnm.Print_Area" localSheetId="0">'Rev. History'!$A$1:$E$31</definedName>
    <definedName name="_xlnm.Print_Area" localSheetId="1">'User Instructions'!$A$1:$AC$80</definedName>
    <definedName name="strQCTDocumentName" localSheetId="5">#REF!</definedName>
    <definedName name="strQCTDocumentName">#REF!</definedName>
    <definedName name="T_CLK_POST">'SDM439 DPHY timing'!$D$30</definedName>
    <definedName name="T_CLK_TRAIL">'SDM439 DPHY timing'!$D$16</definedName>
    <definedName name="T_CLK_ZERO">'SDM439 DPHY timing'!$D$15</definedName>
    <definedName name="T_HS_EXIT">'SDM439 DPHY timing'!$D$22</definedName>
    <definedName name="T_HS_RQST">'SDM439 DPHY timing'!$D$32</definedName>
    <definedName name="T_HS_TRAIL">'SDM439 DPHY timing'!$D$20</definedName>
    <definedName name="T_HS_ZERO">'SDM439 DPHY timing'!$D$19</definedName>
    <definedName name="TLPX_EXT">'SDM439 DPHY timing'!$B$8</definedName>
    <definedName name="TLPX_SLAVE">'SDM439 DPHY timing'!$B$7</definedName>
    <definedName name="TLPX_SNPS">'SDM439 DPHY timing'!$B$7</definedName>
    <definedName name="ttago">'SDM439 DPHY timing'!$E$24</definedName>
    <definedName name="ttasure">'SDM439 DPHY timing'!$E$25</definedName>
    <definedName name="tx_byteclk_hs">'SDM439 DPHY timing'!$B$73</definedName>
    <definedName name="TXBYTECLKHS">'SDM439 DPHY timing'!$B$73</definedName>
    <definedName name="UI">'SDM439 DPHY timing'!$B$6</definedName>
    <definedName name="vQCTAddress" localSheetId="5">#REF!</definedName>
    <definedName name="vQCTAddress">#REF!</definedName>
    <definedName name="vQCTCopyright" localSheetId="5">#REF!</definedName>
    <definedName name="vQCTCopyright">#REF!</definedName>
    <definedName name="vQCTCopyrightHolder" localSheetId="5">#REF!</definedName>
    <definedName name="vQCTCopyrightHolder">#REF!</definedName>
    <definedName name="vQCTDistribution1" localSheetId="5">#REF!</definedName>
    <definedName name="vQCTDistribution1">#REF!</definedName>
    <definedName name="vQCTDistribution2" localSheetId="5">#REF!</definedName>
    <definedName name="vQCTDistribution2">#REF!</definedName>
    <definedName name="vQCTDistribution3" localSheetId="5">#REF!</definedName>
    <definedName name="vQCTDistribution3">#REF!</definedName>
    <definedName name="vQCTDistribution4" localSheetId="5">#REF!</definedName>
    <definedName name="vQCTDistribution4">#REF!</definedName>
    <definedName name="vQCTDocumentDate" localSheetId="5">#REF!</definedName>
    <definedName name="vQCTDocumentDate">#REF!</definedName>
    <definedName name="vQCTDocumentDCN" localSheetId="5">#REF!</definedName>
    <definedName name="vQCTDocumentDCN">#REF!</definedName>
    <definedName name="vQCTDocumentName" localSheetId="5">#REF!</definedName>
    <definedName name="vQCTDocumentName">#REF!</definedName>
    <definedName name="vQCTDocumentType" localSheetId="5">#REF!</definedName>
    <definedName name="vQCTDocumentType">#REF!</definedName>
    <definedName name="vQCTLogoHolder" localSheetId="5">#REF!</definedName>
    <definedName name="vQCTLogoHolder">#REF!</definedName>
    <definedName name="vQCTStmtTitle" localSheetId="5">#REF!</definedName>
    <definedName name="vQCTStmtTitle">#REF!</definedName>
    <definedName name="vQCTSupportInfo" localSheetId="5">#REF!</definedName>
    <definedName name="vQCTSupportInfo">#REF!</definedName>
    <definedName name="vQTICopyrightHolder" localSheetId="5">#REF!</definedName>
    <definedName name="vQTICopyrightHolder">#REF!</definedName>
    <definedName name="vQTIDistribution0.5" localSheetId="5">#REF!</definedName>
    <definedName name="vQTIDistribution0.5">#REF!</definedName>
    <definedName name="vQTIEntityName" localSheetId="5">#REF!</definedName>
    <definedName name="vQTIEntityName">#REF!</definedName>
    <definedName name="vRevisionDate">'Rev. History'!$D$4</definedName>
    <definedName name="WADDR_minus_RADDR">'SDM439 DPHY timing'!$B$76</definedName>
    <definedName name="Y_N">T_HS_RQST!$S$2:$S$3</definedName>
  </definedNames>
  <calcPr calcId="191029" forceFullCalc="1"/>
</workbook>
</file>

<file path=xl/calcChain.xml><?xml version="1.0" encoding="utf-8"?>
<calcChain xmlns="http://schemas.openxmlformats.org/spreadsheetml/2006/main">
  <c r="C18" i="6" l="1"/>
  <c r="F18" i="15"/>
  <c r="C25" i="6" l="1"/>
  <c r="I64" i="16" l="1"/>
  <c r="C31" i="6" l="1"/>
  <c r="F64" i="16" s="1"/>
  <c r="C6" i="6"/>
  <c r="C34" i="6" s="1"/>
  <c r="C7" i="6"/>
  <c r="C35" i="6" s="1"/>
  <c r="B91" i="6"/>
  <c r="B58" i="16"/>
  <c r="B60" i="9"/>
  <c r="B30" i="24"/>
  <c r="B29" i="24"/>
  <c r="B4" i="24"/>
  <c r="B6" i="24" s="1"/>
  <c r="B4" i="23"/>
  <c r="B6" i="23" s="1"/>
  <c r="B30" i="23"/>
  <c r="B29" i="23"/>
  <c r="B4" i="17"/>
  <c r="M64" i="22"/>
  <c r="M63" i="22"/>
  <c r="M62" i="22"/>
  <c r="M61" i="22"/>
  <c r="M60" i="22"/>
  <c r="M59" i="22"/>
  <c r="M58" i="22"/>
  <c r="M57" i="22"/>
  <c r="M56" i="22"/>
  <c r="M55" i="22"/>
  <c r="M54" i="22"/>
  <c r="M53" i="22"/>
  <c r="M52" i="22"/>
  <c r="M51" i="22"/>
  <c r="M50" i="22"/>
  <c r="M49" i="22"/>
  <c r="M48" i="22"/>
  <c r="M47" i="22"/>
  <c r="M46" i="22"/>
  <c r="M45" i="22"/>
  <c r="M44" i="22"/>
  <c r="M43" i="22"/>
  <c r="M42" i="22"/>
  <c r="M41" i="22"/>
  <c r="M40" i="22"/>
  <c r="M39" i="22"/>
  <c r="M38" i="22"/>
  <c r="M37" i="22"/>
  <c r="M36" i="22"/>
  <c r="M35" i="22"/>
  <c r="M34" i="22"/>
  <c r="M33" i="22"/>
  <c r="M32" i="22"/>
  <c r="M31" i="22"/>
  <c r="M30" i="22"/>
  <c r="M29" i="22"/>
  <c r="M28" i="22"/>
  <c r="M27" i="22"/>
  <c r="M26" i="22"/>
  <c r="M25" i="22"/>
  <c r="M24" i="22"/>
  <c r="M23" i="22"/>
  <c r="M22" i="22"/>
  <c r="M21" i="22"/>
  <c r="M20" i="22"/>
  <c r="M19" i="22"/>
  <c r="M18" i="22"/>
  <c r="M17" i="22"/>
  <c r="M16" i="22"/>
  <c r="M15" i="22"/>
  <c r="M14" i="22"/>
  <c r="M13" i="22"/>
  <c r="M12" i="22"/>
  <c r="M11" i="22"/>
  <c r="M10" i="22"/>
  <c r="M9" i="22"/>
  <c r="M8" i="22"/>
  <c r="M7" i="22"/>
  <c r="M6" i="22"/>
  <c r="M5" i="22"/>
  <c r="M4" i="22"/>
  <c r="M3" i="22"/>
  <c r="M2" i="22"/>
  <c r="M64" i="21"/>
  <c r="M63" i="21"/>
  <c r="M62" i="21"/>
  <c r="M61" i="21"/>
  <c r="M60" i="21"/>
  <c r="M59" i="21"/>
  <c r="M58" i="21"/>
  <c r="M57" i="21"/>
  <c r="M56" i="21"/>
  <c r="M55" i="21"/>
  <c r="M54" i="21"/>
  <c r="M53" i="21"/>
  <c r="M52" i="21"/>
  <c r="M51" i="21"/>
  <c r="M50" i="21"/>
  <c r="M49" i="21"/>
  <c r="M48" i="21"/>
  <c r="M47" i="21"/>
  <c r="M46" i="21"/>
  <c r="M45" i="21"/>
  <c r="M44" i="21"/>
  <c r="M43" i="21"/>
  <c r="M42" i="21"/>
  <c r="M41" i="21"/>
  <c r="M40" i="21"/>
  <c r="M39" i="21"/>
  <c r="M38" i="21"/>
  <c r="M37" i="21"/>
  <c r="M36" i="21"/>
  <c r="M35" i="21"/>
  <c r="M34" i="21"/>
  <c r="M33" i="21"/>
  <c r="M32" i="21"/>
  <c r="M31" i="21"/>
  <c r="M30" i="21"/>
  <c r="M29" i="21"/>
  <c r="M28" i="21"/>
  <c r="M27" i="21"/>
  <c r="M26" i="21"/>
  <c r="M25" i="21"/>
  <c r="M24" i="21"/>
  <c r="M23" i="21"/>
  <c r="M22" i="21"/>
  <c r="M21" i="21"/>
  <c r="M20" i="21"/>
  <c r="M19" i="21"/>
  <c r="M18" i="21"/>
  <c r="M17" i="21"/>
  <c r="M16" i="21"/>
  <c r="M15" i="21"/>
  <c r="M14" i="21"/>
  <c r="M13" i="21"/>
  <c r="M12" i="21"/>
  <c r="M11" i="21"/>
  <c r="M10" i="21"/>
  <c r="M9" i="21"/>
  <c r="M8" i="21"/>
  <c r="M7" i="21"/>
  <c r="M6" i="21"/>
  <c r="M5" i="21"/>
  <c r="M4" i="21"/>
  <c r="M3" i="21"/>
  <c r="M2" i="21"/>
  <c r="M64" i="20"/>
  <c r="M63" i="20"/>
  <c r="M62" i="20"/>
  <c r="M61" i="20"/>
  <c r="M60" i="20"/>
  <c r="M59" i="20"/>
  <c r="M58" i="20"/>
  <c r="M57" i="20"/>
  <c r="M56" i="20"/>
  <c r="M55" i="20"/>
  <c r="M54" i="20"/>
  <c r="M53" i="20"/>
  <c r="M52" i="20"/>
  <c r="M51" i="20"/>
  <c r="M50" i="20"/>
  <c r="M49" i="20"/>
  <c r="M48" i="20"/>
  <c r="M47" i="20"/>
  <c r="M46" i="20"/>
  <c r="M45" i="20"/>
  <c r="M44" i="20"/>
  <c r="M43" i="20"/>
  <c r="M42" i="20"/>
  <c r="M41" i="20"/>
  <c r="M40" i="20"/>
  <c r="M39" i="20"/>
  <c r="M38" i="20"/>
  <c r="M37" i="20"/>
  <c r="M36" i="20"/>
  <c r="M35" i="20"/>
  <c r="M34" i="20"/>
  <c r="M33" i="20"/>
  <c r="M32" i="20"/>
  <c r="M31" i="20"/>
  <c r="M30" i="20"/>
  <c r="M29" i="20"/>
  <c r="M28" i="20"/>
  <c r="M27" i="20"/>
  <c r="M26" i="20"/>
  <c r="M25" i="20"/>
  <c r="M24" i="20"/>
  <c r="M23" i="20"/>
  <c r="M22" i="20"/>
  <c r="M21" i="20"/>
  <c r="M20" i="20"/>
  <c r="M19" i="20"/>
  <c r="M18" i="20"/>
  <c r="M17" i="20"/>
  <c r="M16" i="20"/>
  <c r="M15" i="20"/>
  <c r="M14" i="20"/>
  <c r="M13" i="20"/>
  <c r="M12" i="20"/>
  <c r="M11" i="20"/>
  <c r="M10" i="20"/>
  <c r="M9" i="20"/>
  <c r="M8" i="20"/>
  <c r="M7" i="20"/>
  <c r="M6" i="20"/>
  <c r="M5" i="20"/>
  <c r="M4" i="20"/>
  <c r="M3" i="20"/>
  <c r="M2" i="20"/>
  <c r="M64" i="19"/>
  <c r="M63" i="19"/>
  <c r="M62" i="19"/>
  <c r="M61" i="19"/>
  <c r="M60" i="19"/>
  <c r="M59" i="19"/>
  <c r="M58" i="19"/>
  <c r="M57" i="19"/>
  <c r="M56" i="19"/>
  <c r="M55" i="19"/>
  <c r="M54" i="19"/>
  <c r="M53" i="19"/>
  <c r="M52" i="19"/>
  <c r="M51" i="19"/>
  <c r="M50" i="19"/>
  <c r="M49" i="19"/>
  <c r="M48" i="19"/>
  <c r="M47" i="19"/>
  <c r="M46" i="19"/>
  <c r="M45" i="19"/>
  <c r="M44" i="19"/>
  <c r="M43" i="19"/>
  <c r="M42" i="19"/>
  <c r="M41" i="19"/>
  <c r="M40" i="19"/>
  <c r="M39" i="19"/>
  <c r="M38" i="19"/>
  <c r="M37" i="19"/>
  <c r="M36" i="19"/>
  <c r="M35" i="19"/>
  <c r="M34" i="19"/>
  <c r="M33" i="19"/>
  <c r="M32" i="19"/>
  <c r="M31" i="19"/>
  <c r="M30" i="19"/>
  <c r="M29" i="19"/>
  <c r="M28" i="19"/>
  <c r="M27" i="19"/>
  <c r="M26" i="19"/>
  <c r="M25" i="19"/>
  <c r="M24" i="19"/>
  <c r="M23" i="19"/>
  <c r="M22" i="19"/>
  <c r="M21" i="19"/>
  <c r="M20" i="19"/>
  <c r="M19" i="19"/>
  <c r="M18" i="19"/>
  <c r="M17" i="19"/>
  <c r="M16" i="19"/>
  <c r="M15" i="19"/>
  <c r="M14" i="19"/>
  <c r="M13" i="19"/>
  <c r="M12" i="19"/>
  <c r="M11" i="19"/>
  <c r="M10" i="19"/>
  <c r="M9" i="19"/>
  <c r="M8" i="19"/>
  <c r="M7" i="19"/>
  <c r="M6" i="19"/>
  <c r="M5" i="19"/>
  <c r="M4" i="19"/>
  <c r="M3" i="19"/>
  <c r="M2" i="19"/>
  <c r="M64" i="18"/>
  <c r="M63" i="18"/>
  <c r="M62" i="18"/>
  <c r="M61" i="18"/>
  <c r="M60" i="18"/>
  <c r="M59" i="18"/>
  <c r="M58" i="18"/>
  <c r="M57" i="18"/>
  <c r="M56" i="18"/>
  <c r="M55" i="18"/>
  <c r="M54" i="18"/>
  <c r="M53" i="18"/>
  <c r="M52" i="18"/>
  <c r="M51" i="18"/>
  <c r="M50" i="18"/>
  <c r="M49" i="18"/>
  <c r="M48" i="18"/>
  <c r="M47" i="18"/>
  <c r="M46" i="18"/>
  <c r="M45" i="18"/>
  <c r="M44" i="18"/>
  <c r="M43" i="18"/>
  <c r="M42" i="18"/>
  <c r="M41" i="18"/>
  <c r="M40" i="18"/>
  <c r="M39" i="18"/>
  <c r="M38" i="18"/>
  <c r="M37" i="18"/>
  <c r="M36" i="18"/>
  <c r="M35" i="18"/>
  <c r="M34" i="18"/>
  <c r="M33" i="18"/>
  <c r="M32" i="18"/>
  <c r="M31" i="18"/>
  <c r="M30" i="18"/>
  <c r="M29" i="18"/>
  <c r="M28" i="18"/>
  <c r="M27" i="18"/>
  <c r="M26" i="18"/>
  <c r="M25" i="18"/>
  <c r="M24" i="18"/>
  <c r="M23" i="18"/>
  <c r="M22" i="18"/>
  <c r="M21" i="18"/>
  <c r="M20" i="18"/>
  <c r="M19" i="18"/>
  <c r="M18" i="18"/>
  <c r="M17" i="18"/>
  <c r="M16" i="18"/>
  <c r="M15" i="18"/>
  <c r="M14" i="18"/>
  <c r="B52" i="17"/>
  <c r="B51" i="17"/>
  <c r="D32" i="17"/>
  <c r="D21" i="17" s="1"/>
  <c r="G27" i="17"/>
  <c r="B27" i="17"/>
  <c r="D27" i="17" s="1"/>
  <c r="C27" i="17"/>
  <c r="G26" i="17"/>
  <c r="I26" i="17" s="1"/>
  <c r="C26" i="17"/>
  <c r="B26" i="17"/>
  <c r="G25" i="17"/>
  <c r="I25" i="17" s="1"/>
  <c r="C25" i="17"/>
  <c r="B25" i="17"/>
  <c r="D25" i="17" s="1"/>
  <c r="G24" i="17"/>
  <c r="B24" i="17"/>
  <c r="D24" i="17" s="1"/>
  <c r="C24" i="17"/>
  <c r="D23" i="17"/>
  <c r="D22" i="17"/>
  <c r="D13" i="17"/>
  <c r="B56" i="16"/>
  <c r="B55" i="16"/>
  <c r="B54" i="16"/>
  <c r="B51" i="16"/>
  <c r="B48" i="16"/>
  <c r="B47" i="16"/>
  <c r="B4" i="16"/>
  <c r="H21" i="16" s="1"/>
  <c r="B4" i="15"/>
  <c r="H21" i="15" s="1"/>
  <c r="B47" i="15"/>
  <c r="B46" i="15"/>
  <c r="A54" i="9"/>
  <c r="B96" i="6" s="1"/>
  <c r="A52" i="9"/>
  <c r="B94" i="6" s="1"/>
  <c r="B73" i="6"/>
  <c r="B49" i="9"/>
  <c r="B50" i="9"/>
  <c r="B4" i="9"/>
  <c r="H20" i="9" s="1"/>
  <c r="B72" i="6"/>
  <c r="B39" i="7"/>
  <c r="B38" i="7"/>
  <c r="B4" i="7"/>
  <c r="H20" i="7" s="1"/>
  <c r="C13" i="6"/>
  <c r="C52" i="6"/>
  <c r="C68" i="6" s="1"/>
  <c r="C56" i="6"/>
  <c r="C70" i="6" s="1"/>
  <c r="C57" i="6"/>
  <c r="C58" i="6"/>
  <c r="C59" i="6"/>
  <c r="C60" i="6"/>
  <c r="C61" i="6"/>
  <c r="C62" i="6"/>
  <c r="C69" i="6"/>
  <c r="G18" i="9"/>
  <c r="B53" i="9" s="1"/>
  <c r="C95" i="6" s="1"/>
  <c r="B53" i="15"/>
  <c r="G11" i="9"/>
  <c r="B51" i="9" s="1"/>
  <c r="B74" i="6"/>
  <c r="B100" i="6"/>
  <c r="B98" i="6"/>
  <c r="B102" i="6"/>
  <c r="C74" i="6"/>
  <c r="B81" i="6"/>
  <c r="B85" i="6"/>
  <c r="B89" i="6"/>
  <c r="C99" i="6"/>
  <c r="C97" i="6"/>
  <c r="C101" i="6"/>
  <c r="B92" i="6"/>
  <c r="B80" i="6"/>
  <c r="B84" i="6"/>
  <c r="B88" i="6"/>
  <c r="C102" i="6"/>
  <c r="B76" i="6"/>
  <c r="C98" i="6"/>
  <c r="B97" i="6"/>
  <c r="B101" i="6"/>
  <c r="B93" i="6"/>
  <c r="B82" i="6"/>
  <c r="B86" i="6"/>
  <c r="B90" i="6"/>
  <c r="B75" i="6"/>
  <c r="B77" i="6"/>
  <c r="B99" i="6"/>
  <c r="B95" i="6"/>
  <c r="C100" i="6"/>
  <c r="B83" i="6"/>
  <c r="B87" i="6"/>
  <c r="C91" i="6" l="1"/>
  <c r="F62" i="16"/>
  <c r="H19" i="7"/>
  <c r="B6" i="9"/>
  <c r="C21" i="9" s="1"/>
  <c r="F61" i="16"/>
  <c r="H18" i="7"/>
  <c r="H24" i="17"/>
  <c r="H26" i="17"/>
  <c r="B6" i="7"/>
  <c r="D26" i="17"/>
  <c r="H17" i="23"/>
  <c r="B6" i="15"/>
  <c r="C22" i="15" s="1"/>
  <c r="F66" i="16"/>
  <c r="B6" i="16"/>
  <c r="H27" i="17"/>
  <c r="H20" i="16"/>
  <c r="H16" i="23"/>
  <c r="H18" i="24"/>
  <c r="H22" i="16"/>
  <c r="C76" i="6"/>
  <c r="B17" i="23"/>
  <c r="F17" i="23" s="1"/>
  <c r="C16" i="23"/>
  <c r="C17" i="23"/>
  <c r="B18" i="23"/>
  <c r="F18" i="23" s="1"/>
  <c r="C18" i="23"/>
  <c r="B16" i="23"/>
  <c r="F16" i="23" s="1"/>
  <c r="C18" i="24"/>
  <c r="C16" i="24"/>
  <c r="C17" i="24"/>
  <c r="B16" i="24"/>
  <c r="F16" i="24" s="1"/>
  <c r="B17" i="24"/>
  <c r="F17" i="24" s="1"/>
  <c r="B18" i="24"/>
  <c r="F18" i="24" s="1"/>
  <c r="C47" i="6"/>
  <c r="H20" i="15"/>
  <c r="H17" i="24"/>
  <c r="H22" i="9"/>
  <c r="H18" i="23"/>
  <c r="F69" i="16"/>
  <c r="F65" i="16"/>
  <c r="F60" i="16"/>
  <c r="H25" i="17"/>
  <c r="H22" i="15"/>
  <c r="H21" i="9"/>
  <c r="H16" i="24"/>
  <c r="F68" i="16"/>
  <c r="C46" i="6"/>
  <c r="C66" i="6"/>
  <c r="C45" i="6"/>
  <c r="C43" i="6"/>
  <c r="C39" i="6"/>
  <c r="C40" i="6"/>
  <c r="C65" i="6"/>
  <c r="C36" i="6"/>
  <c r="C112" i="6" s="1"/>
  <c r="C67" i="6"/>
  <c r="C105" i="6"/>
  <c r="C44" i="6"/>
  <c r="C41" i="6"/>
  <c r="C42" i="6"/>
  <c r="B3" i="15" l="1"/>
  <c r="B3" i="16"/>
  <c r="C22" i="9"/>
  <c r="B22" i="9"/>
  <c r="F22" i="9" s="1"/>
  <c r="B22" i="15"/>
  <c r="F22" i="15" s="1"/>
  <c r="B20" i="9"/>
  <c r="F20" i="9" s="1"/>
  <c r="C20" i="9"/>
  <c r="B21" i="9"/>
  <c r="F21" i="9" s="1"/>
  <c r="B19" i="7"/>
  <c r="F19" i="7" s="1"/>
  <c r="B20" i="7"/>
  <c r="F20" i="7" s="1"/>
  <c r="C19" i="7"/>
  <c r="C20" i="7"/>
  <c r="C20" i="15"/>
  <c r="B20" i="15"/>
  <c r="F20" i="15" s="1"/>
  <c r="C18" i="7"/>
  <c r="C21" i="15"/>
  <c r="B18" i="7"/>
  <c r="F18" i="7" s="1"/>
  <c r="B21" i="15"/>
  <c r="F21" i="15" s="1"/>
  <c r="B22" i="16"/>
  <c r="F22" i="16" s="1"/>
  <c r="B21" i="16"/>
  <c r="F21" i="16" s="1"/>
  <c r="C20" i="16"/>
  <c r="B20" i="16"/>
  <c r="F20" i="16" s="1"/>
  <c r="C21" i="16"/>
  <c r="C22" i="16"/>
  <c r="B3" i="23"/>
  <c r="F43" i="23" s="1"/>
  <c r="B3" i="17"/>
  <c r="P1" i="20" s="1"/>
  <c r="C106" i="6"/>
  <c r="C128" i="6" s="1"/>
  <c r="B3" i="9"/>
  <c r="F28" i="9" s="1"/>
  <c r="G28" i="9" s="1"/>
  <c r="B52" i="9" s="1"/>
  <c r="C94" i="6" s="1"/>
  <c r="B3" i="7"/>
  <c r="B5" i="7" s="1"/>
  <c r="B3" i="24"/>
  <c r="F43" i="24" s="1"/>
  <c r="F70" i="16" l="1"/>
  <c r="F11" i="16"/>
  <c r="G11" i="16" s="1"/>
  <c r="I63" i="16"/>
  <c r="G11" i="15"/>
  <c r="B37" i="15" s="1"/>
  <c r="G18" i="15"/>
  <c r="F11" i="23"/>
  <c r="G11" i="23" s="1"/>
  <c r="B23" i="23" s="1"/>
  <c r="B5" i="23"/>
  <c r="B13" i="23" s="1"/>
  <c r="D13" i="23" s="1"/>
  <c r="I67" i="16"/>
  <c r="F67" i="16" s="1"/>
  <c r="F18" i="16"/>
  <c r="G18" i="16" s="1"/>
  <c r="C32" i="15"/>
  <c r="F66" i="15"/>
  <c r="C32" i="16"/>
  <c r="P1" i="21"/>
  <c r="N59" i="21" s="1"/>
  <c r="P1" i="18"/>
  <c r="N37" i="18" s="1"/>
  <c r="B5" i="15"/>
  <c r="C24" i="15" s="1"/>
  <c r="C13" i="15" s="1"/>
  <c r="E13" i="15" s="1"/>
  <c r="B5" i="16"/>
  <c r="B33" i="16" s="1"/>
  <c r="F63" i="16"/>
  <c r="F51" i="7"/>
  <c r="P1" i="19"/>
  <c r="N62" i="19" s="1"/>
  <c r="C140" i="6"/>
  <c r="B6" i="17"/>
  <c r="B20" i="17" s="1"/>
  <c r="P1" i="22"/>
  <c r="N3" i="22" s="1"/>
  <c r="C108" i="6"/>
  <c r="C116" i="6" s="1"/>
  <c r="F49" i="7"/>
  <c r="B5" i="9"/>
  <c r="B34" i="9" s="1"/>
  <c r="D34" i="9" s="1"/>
  <c r="C34" i="9"/>
  <c r="C107" i="6"/>
  <c r="F29" i="9"/>
  <c r="G29" i="9" s="1"/>
  <c r="B54" i="9" s="1"/>
  <c r="C96" i="6" s="1"/>
  <c r="B5" i="24"/>
  <c r="D15" i="24" s="1"/>
  <c r="F15" i="24" s="1"/>
  <c r="G15" i="24" s="1"/>
  <c r="F11" i="24"/>
  <c r="G11" i="24" s="1"/>
  <c r="B23" i="24" s="1"/>
  <c r="N48" i="20"/>
  <c r="N39" i="20"/>
  <c r="N7" i="20"/>
  <c r="N60" i="20"/>
  <c r="N24" i="20"/>
  <c r="N38" i="20"/>
  <c r="N57" i="20"/>
  <c r="N15" i="20"/>
  <c r="N31" i="20"/>
  <c r="N54" i="20"/>
  <c r="N25" i="20"/>
  <c r="N56" i="20"/>
  <c r="N42" i="20"/>
  <c r="N33" i="20"/>
  <c r="N14" i="20"/>
  <c r="N64" i="20"/>
  <c r="N58" i="20"/>
  <c r="N23" i="20"/>
  <c r="N3" i="20"/>
  <c r="N52" i="20"/>
  <c r="N26" i="20"/>
  <c r="N4" i="20"/>
  <c r="N43" i="20"/>
  <c r="N12" i="20"/>
  <c r="N32" i="20"/>
  <c r="N20" i="20"/>
  <c r="N50" i="20"/>
  <c r="N34" i="20"/>
  <c r="N21" i="20"/>
  <c r="N49" i="20"/>
  <c r="N35" i="20"/>
  <c r="N44" i="20"/>
  <c r="N13" i="20"/>
  <c r="N61" i="20"/>
  <c r="N17" i="20"/>
  <c r="N45" i="20"/>
  <c r="N29" i="20"/>
  <c r="N37" i="20"/>
  <c r="N53" i="20"/>
  <c r="N40" i="20"/>
  <c r="N59" i="20"/>
  <c r="N18" i="20"/>
  <c r="N63" i="20"/>
  <c r="N16" i="20"/>
  <c r="N51" i="20"/>
  <c r="N55" i="20"/>
  <c r="N10" i="20"/>
  <c r="N46" i="20"/>
  <c r="N2" i="20"/>
  <c r="N6" i="20"/>
  <c r="N8" i="20"/>
  <c r="N5" i="20"/>
  <c r="N47" i="20"/>
  <c r="N19" i="20"/>
  <c r="N9" i="20"/>
  <c r="N11" i="20"/>
  <c r="N30" i="20"/>
  <c r="N36" i="20"/>
  <c r="N27" i="20"/>
  <c r="N62" i="20"/>
  <c r="N22" i="20"/>
  <c r="N41" i="20"/>
  <c r="N28" i="20"/>
  <c r="C22" i="7"/>
  <c r="C12" i="7" s="1"/>
  <c r="E12" i="7" s="1"/>
  <c r="E10" i="7"/>
  <c r="B13" i="7"/>
  <c r="D13" i="7" s="1"/>
  <c r="C21" i="7"/>
  <c r="C15" i="7" s="1"/>
  <c r="E15" i="7" s="1"/>
  <c r="B24" i="7"/>
  <c r="D17" i="7"/>
  <c r="F17" i="7" s="1"/>
  <c r="G17" i="7" s="1"/>
  <c r="B33" i="7" s="1"/>
  <c r="F16" i="7"/>
  <c r="D10" i="7"/>
  <c r="C13" i="7"/>
  <c r="E13" i="7" s="1"/>
  <c r="D12" i="7"/>
  <c r="B23" i="7"/>
  <c r="B15" i="7"/>
  <c r="D15" i="7" s="1"/>
  <c r="D15" i="23" l="1"/>
  <c r="F15" i="23" s="1"/>
  <c r="G15" i="23" s="1"/>
  <c r="H15" i="23" s="1"/>
  <c r="I15" i="23" s="1"/>
  <c r="E10" i="23"/>
  <c r="B38" i="16"/>
  <c r="D14" i="23"/>
  <c r="F14" i="23" s="1"/>
  <c r="G14" i="23" s="1"/>
  <c r="H14" i="23" s="1"/>
  <c r="I14" i="23" s="1"/>
  <c r="D10" i="23"/>
  <c r="C12" i="23"/>
  <c r="E12" i="23" s="1"/>
  <c r="C13" i="23"/>
  <c r="E13" i="23" s="1"/>
  <c r="F13" i="23" s="1"/>
  <c r="G13" i="23" s="1"/>
  <c r="B27" i="23" s="1"/>
  <c r="N2" i="21"/>
  <c r="N44" i="21"/>
  <c r="N38" i="21"/>
  <c r="N64" i="21"/>
  <c r="N31" i="21"/>
  <c r="N34" i="21"/>
  <c r="N23" i="21"/>
  <c r="N57" i="21"/>
  <c r="N18" i="21"/>
  <c r="E32" i="16"/>
  <c r="B32" i="16"/>
  <c r="D32" i="16" s="1"/>
  <c r="N11" i="21"/>
  <c r="N42" i="21"/>
  <c r="N46" i="21"/>
  <c r="N16" i="21"/>
  <c r="N15" i="21"/>
  <c r="N12" i="21"/>
  <c r="N29" i="21"/>
  <c r="N20" i="21"/>
  <c r="N43" i="21"/>
  <c r="N5" i="18"/>
  <c r="B33" i="15"/>
  <c r="E32" i="15"/>
  <c r="B32" i="15"/>
  <c r="D32" i="15" s="1"/>
  <c r="N7" i="18"/>
  <c r="N59" i="18"/>
  <c r="N5" i="21"/>
  <c r="N56" i="21"/>
  <c r="N60" i="21"/>
  <c r="N25" i="21"/>
  <c r="N33" i="21"/>
  <c r="N39" i="21"/>
  <c r="N4" i="21"/>
  <c r="N17" i="21"/>
  <c r="N37" i="21"/>
  <c r="N54" i="21"/>
  <c r="N21" i="21"/>
  <c r="N35" i="21"/>
  <c r="N32" i="21"/>
  <c r="N52" i="21"/>
  <c r="N6" i="21"/>
  <c r="N3" i="21"/>
  <c r="N53" i="21"/>
  <c r="C23" i="15"/>
  <c r="C16" i="15" s="1"/>
  <c r="E16" i="15" s="1"/>
  <c r="N31" i="18"/>
  <c r="N60" i="18"/>
  <c r="N64" i="18"/>
  <c r="N36" i="18"/>
  <c r="N61" i="18"/>
  <c r="N12" i="18"/>
  <c r="N30" i="18"/>
  <c r="N21" i="18"/>
  <c r="N52" i="18"/>
  <c r="N26" i="21"/>
  <c r="N8" i="21"/>
  <c r="N62" i="21"/>
  <c r="N27" i="21"/>
  <c r="N51" i="21"/>
  <c r="N48" i="21"/>
  <c r="N41" i="21"/>
  <c r="N63" i="21"/>
  <c r="N30" i="21"/>
  <c r="N40" i="21"/>
  <c r="N10" i="21"/>
  <c r="N28" i="21"/>
  <c r="N42" i="18"/>
  <c r="N2" i="18"/>
  <c r="N18" i="18"/>
  <c r="N3" i="18"/>
  <c r="N16" i="18"/>
  <c r="N4" i="18"/>
  <c r="N44" i="18"/>
  <c r="N22" i="18"/>
  <c r="N40" i="18"/>
  <c r="N15" i="18"/>
  <c r="N56" i="18"/>
  <c r="B75" i="17"/>
  <c r="N8" i="18"/>
  <c r="N20" i="18"/>
  <c r="N29" i="18"/>
  <c r="N51" i="18"/>
  <c r="N47" i="18"/>
  <c r="N57" i="18"/>
  <c r="N13" i="18"/>
  <c r="N54" i="18"/>
  <c r="N41" i="18"/>
  <c r="N63" i="18"/>
  <c r="N6" i="18"/>
  <c r="N28" i="18"/>
  <c r="N45" i="21"/>
  <c r="N55" i="21"/>
  <c r="N61" i="21"/>
  <c r="N19" i="21"/>
  <c r="N50" i="21"/>
  <c r="N24" i="21"/>
  <c r="N14" i="21"/>
  <c r="N9" i="21"/>
  <c r="N58" i="21"/>
  <c r="N36" i="21"/>
  <c r="N47" i="21"/>
  <c r="N13" i="21"/>
  <c r="N7" i="21"/>
  <c r="N49" i="21"/>
  <c r="N22" i="21"/>
  <c r="N33" i="18"/>
  <c r="N38" i="18"/>
  <c r="N35" i="18"/>
  <c r="N34" i="18"/>
  <c r="N48" i="18"/>
  <c r="N32" i="18"/>
  <c r="N10" i="18"/>
  <c r="N23" i="18"/>
  <c r="N46" i="18"/>
  <c r="N27" i="18"/>
  <c r="N49" i="18"/>
  <c r="N17" i="18"/>
  <c r="D19" i="15"/>
  <c r="F19" i="15" s="1"/>
  <c r="G19" i="15" s="1"/>
  <c r="H19" i="15" s="1"/>
  <c r="N53" i="18"/>
  <c r="N24" i="18"/>
  <c r="N39" i="18"/>
  <c r="N45" i="18"/>
  <c r="N19" i="18"/>
  <c r="N58" i="18"/>
  <c r="N55" i="18"/>
  <c r="N14" i="18"/>
  <c r="N11" i="18"/>
  <c r="N43" i="18"/>
  <c r="N62" i="18"/>
  <c r="N26" i="18"/>
  <c r="N25" i="18"/>
  <c r="N9" i="18"/>
  <c r="N50" i="18"/>
  <c r="N56" i="19"/>
  <c r="B26" i="16"/>
  <c r="N18" i="19"/>
  <c r="B26" i="15"/>
  <c r="N10" i="19"/>
  <c r="N38" i="19"/>
  <c r="C14" i="15"/>
  <c r="E14" i="15" s="1"/>
  <c r="N42" i="19"/>
  <c r="E10" i="16"/>
  <c r="N32" i="19"/>
  <c r="N44" i="19"/>
  <c r="N49" i="19"/>
  <c r="N33" i="19"/>
  <c r="N11" i="19"/>
  <c r="N5" i="19"/>
  <c r="C129" i="6"/>
  <c r="D13" i="16"/>
  <c r="D27" i="15"/>
  <c r="F27" i="15" s="1"/>
  <c r="G27" i="15" s="1"/>
  <c r="H27" i="15" s="1"/>
  <c r="I27" i="15" s="1"/>
  <c r="N16" i="19"/>
  <c r="N63" i="19"/>
  <c r="N51" i="19"/>
  <c r="N57" i="19"/>
  <c r="N28" i="19"/>
  <c r="D17" i="16"/>
  <c r="F17" i="16" s="1"/>
  <c r="G17" i="16" s="1"/>
  <c r="H17" i="16" s="1"/>
  <c r="I17" i="16" s="1"/>
  <c r="D13" i="15"/>
  <c r="F13" i="15" s="1"/>
  <c r="G13" i="15" s="1"/>
  <c r="N61" i="19"/>
  <c r="N9" i="19"/>
  <c r="N6" i="19"/>
  <c r="N50" i="19"/>
  <c r="N14" i="19"/>
  <c r="N52" i="19"/>
  <c r="N37" i="19"/>
  <c r="N31" i="19"/>
  <c r="D27" i="16"/>
  <c r="F27" i="16" s="1"/>
  <c r="G27" i="16" s="1"/>
  <c r="H27" i="16" s="1"/>
  <c r="I27" i="16" s="1"/>
  <c r="B16" i="16"/>
  <c r="D16" i="16" s="1"/>
  <c r="B25" i="16"/>
  <c r="N53" i="19"/>
  <c r="N55" i="19"/>
  <c r="N21" i="19"/>
  <c r="N23" i="19"/>
  <c r="N17" i="19"/>
  <c r="N4" i="19"/>
  <c r="N45" i="19"/>
  <c r="N22" i="19"/>
  <c r="N48" i="19"/>
  <c r="N47" i="19"/>
  <c r="N26" i="19"/>
  <c r="N54" i="19"/>
  <c r="N25" i="19"/>
  <c r="N27" i="19"/>
  <c r="N64" i="19"/>
  <c r="N7" i="19"/>
  <c r="C113" i="6"/>
  <c r="D10" i="16"/>
  <c r="C14" i="16"/>
  <c r="E14" i="16" s="1"/>
  <c r="D19" i="16"/>
  <c r="F19" i="16" s="1"/>
  <c r="G19" i="16" s="1"/>
  <c r="B42" i="16" s="1"/>
  <c r="B14" i="15"/>
  <c r="D14" i="15" s="1"/>
  <c r="E10" i="15"/>
  <c r="B25" i="15"/>
  <c r="D25" i="15" s="1"/>
  <c r="F25" i="15" s="1"/>
  <c r="G25" i="15" s="1"/>
  <c r="N12" i="19"/>
  <c r="N43" i="19"/>
  <c r="N40" i="19"/>
  <c r="N29" i="19"/>
  <c r="N19" i="19"/>
  <c r="N41" i="19"/>
  <c r="N13" i="19"/>
  <c r="N46" i="19"/>
  <c r="C114" i="6"/>
  <c r="N58" i="19"/>
  <c r="N8" i="19"/>
  <c r="N2" i="19"/>
  <c r="N39" i="19"/>
  <c r="N35" i="19"/>
  <c r="N20" i="19"/>
  <c r="N34" i="19"/>
  <c r="N3" i="19"/>
  <c r="N15" i="19"/>
  <c r="N59" i="19"/>
  <c r="N36" i="19"/>
  <c r="N24" i="19"/>
  <c r="N60" i="19"/>
  <c r="N30" i="19"/>
  <c r="C115" i="6"/>
  <c r="C23" i="16"/>
  <c r="C16" i="16" s="1"/>
  <c r="E16" i="16" s="1"/>
  <c r="C24" i="16"/>
  <c r="C13" i="16" s="1"/>
  <c r="E13" i="16" s="1"/>
  <c r="B14" i="16"/>
  <c r="D14" i="16" s="1"/>
  <c r="D10" i="15"/>
  <c r="D17" i="15"/>
  <c r="F17" i="15" s="1"/>
  <c r="G17" i="15" s="1"/>
  <c r="H17" i="15" s="1"/>
  <c r="I17" i="15" s="1"/>
  <c r="B16" i="15"/>
  <c r="D16" i="15" s="1"/>
  <c r="B17" i="17"/>
  <c r="C28" i="17"/>
  <c r="C20" i="17" s="1"/>
  <c r="D20" i="17" s="1"/>
  <c r="B31" i="17"/>
  <c r="D31" i="17" s="1"/>
  <c r="C17" i="17"/>
  <c r="B73" i="17"/>
  <c r="E32" i="17" s="1"/>
  <c r="B30" i="17"/>
  <c r="D30" i="17" s="1"/>
  <c r="C29" i="17"/>
  <c r="C16" i="17" s="1"/>
  <c r="D16" i="17" s="1"/>
  <c r="N20" i="22"/>
  <c r="N30" i="22"/>
  <c r="N25" i="22"/>
  <c r="F27" i="9"/>
  <c r="G27" i="9" s="1"/>
  <c r="H27" i="9" s="1"/>
  <c r="I27" i="9" s="1"/>
  <c r="N38" i="22"/>
  <c r="N2" i="22"/>
  <c r="N45" i="22"/>
  <c r="N26" i="22"/>
  <c r="N34" i="22"/>
  <c r="N33" i="22"/>
  <c r="N4" i="22"/>
  <c r="N43" i="22"/>
  <c r="N15" i="22"/>
  <c r="N29" i="22"/>
  <c r="N49" i="22"/>
  <c r="N17" i="22"/>
  <c r="N50" i="22"/>
  <c r="N46" i="22"/>
  <c r="N55" i="22"/>
  <c r="N13" i="22"/>
  <c r="N31" i="22"/>
  <c r="N56" i="22"/>
  <c r="N42" i="22"/>
  <c r="N48" i="22"/>
  <c r="N11" i="22"/>
  <c r="N18" i="22"/>
  <c r="N41" i="22"/>
  <c r="N39" i="22"/>
  <c r="N44" i="22"/>
  <c r="N21" i="22"/>
  <c r="N64" i="22"/>
  <c r="N7" i="22"/>
  <c r="N61" i="22"/>
  <c r="N40" i="22"/>
  <c r="N24" i="22"/>
  <c r="N59" i="22"/>
  <c r="N10" i="22"/>
  <c r="N63" i="22"/>
  <c r="N62" i="22"/>
  <c r="N36" i="22"/>
  <c r="N8" i="22"/>
  <c r="N52" i="22"/>
  <c r="N54" i="22"/>
  <c r="N37" i="22"/>
  <c r="N51" i="22"/>
  <c r="N9" i="22"/>
  <c r="N14" i="22"/>
  <c r="N5" i="22"/>
  <c r="B13" i="24"/>
  <c r="D13" i="24" s="1"/>
  <c r="N32" i="22"/>
  <c r="N60" i="22"/>
  <c r="N19" i="22"/>
  <c r="N47" i="22"/>
  <c r="N6" i="22"/>
  <c r="N53" i="22"/>
  <c r="N58" i="22"/>
  <c r="N23" i="22"/>
  <c r="N57" i="22"/>
  <c r="N16" i="22"/>
  <c r="N12" i="22"/>
  <c r="N35" i="22"/>
  <c r="N28" i="22"/>
  <c r="N22" i="22"/>
  <c r="N27" i="22"/>
  <c r="F17" i="9"/>
  <c r="G17" i="9" s="1"/>
  <c r="B48" i="9" s="1"/>
  <c r="C90" i="6" s="1"/>
  <c r="C13" i="24"/>
  <c r="E13" i="24" s="1"/>
  <c r="E10" i="24"/>
  <c r="C24" i="9"/>
  <c r="C13" i="9" s="1"/>
  <c r="E13" i="9" s="1"/>
  <c r="D14" i="24"/>
  <c r="F14" i="24" s="1"/>
  <c r="G14" i="24" s="1"/>
  <c r="H14" i="24" s="1"/>
  <c r="I14" i="24" s="1"/>
  <c r="D10" i="24"/>
  <c r="C23" i="9"/>
  <c r="C16" i="9" s="1"/>
  <c r="E16" i="9" s="1"/>
  <c r="C12" i="24"/>
  <c r="E12" i="24" s="1"/>
  <c r="C14" i="9"/>
  <c r="E14" i="9" s="1"/>
  <c r="B14" i="9"/>
  <c r="D14" i="9" s="1"/>
  <c r="D13" i="9"/>
  <c r="B35" i="9"/>
  <c r="B25" i="9"/>
  <c r="D25" i="9" s="1"/>
  <c r="F25" i="9" s="1"/>
  <c r="G25" i="9" s="1"/>
  <c r="B16" i="9"/>
  <c r="D16" i="9" s="1"/>
  <c r="D19" i="9"/>
  <c r="F19" i="9" s="1"/>
  <c r="G19" i="9" s="1"/>
  <c r="B39" i="9" s="1"/>
  <c r="E10" i="9"/>
  <c r="D10" i="9"/>
  <c r="B26" i="9"/>
  <c r="E34" i="9"/>
  <c r="F34" i="9" s="1"/>
  <c r="G34" i="9" s="1"/>
  <c r="H34" i="9" s="1"/>
  <c r="I34" i="9" s="1"/>
  <c r="F12" i="7"/>
  <c r="G12" i="7" s="1"/>
  <c r="H17" i="7"/>
  <c r="D23" i="7" s="1"/>
  <c r="F23" i="7" s="1"/>
  <c r="G23" i="7" s="1"/>
  <c r="H23" i="7" s="1"/>
  <c r="F15" i="7"/>
  <c r="G15" i="7" s="1"/>
  <c r="B36" i="7" s="1"/>
  <c r="G16" i="7"/>
  <c r="F10" i="7"/>
  <c r="G10" i="7" s="1"/>
  <c r="F13" i="7"/>
  <c r="G13" i="7" s="1"/>
  <c r="S1" i="20"/>
  <c r="E18" i="17" s="1"/>
  <c r="B24" i="24"/>
  <c r="H15" i="24"/>
  <c r="I15" i="24" s="1"/>
  <c r="H10" i="7" l="1"/>
  <c r="F13" i="16"/>
  <c r="G13" i="16" s="1"/>
  <c r="H13" i="16" s="1"/>
  <c r="H24" i="16" s="1"/>
  <c r="B59" i="16"/>
  <c r="B28" i="23"/>
  <c r="B24" i="23"/>
  <c r="F10" i="23"/>
  <c r="G10" i="23" s="1"/>
  <c r="B26" i="23" s="1"/>
  <c r="B81" i="17"/>
  <c r="E22" i="17" s="1"/>
  <c r="B50" i="17" s="1"/>
  <c r="B12" i="23"/>
  <c r="D12" i="23" s="1"/>
  <c r="F12" i="23" s="1"/>
  <c r="G12" i="23" s="1"/>
  <c r="H12" i="23" s="1"/>
  <c r="I12" i="23" s="1"/>
  <c r="F32" i="16"/>
  <c r="G32" i="16" s="1"/>
  <c r="B57" i="16" s="1"/>
  <c r="B45" i="15"/>
  <c r="F32" i="15"/>
  <c r="G32" i="15" s="1"/>
  <c r="H32" i="15" s="1"/>
  <c r="I32" i="15" s="1"/>
  <c r="F16" i="15"/>
  <c r="G16" i="15" s="1"/>
  <c r="H16" i="15" s="1"/>
  <c r="I16" i="15" s="1"/>
  <c r="S1" i="21"/>
  <c r="E13" i="17" s="1"/>
  <c r="S1" i="18"/>
  <c r="B41" i="15"/>
  <c r="B61" i="9"/>
  <c r="F10" i="16"/>
  <c r="G10" i="16" s="1"/>
  <c r="H10" i="16" s="1"/>
  <c r="H17" i="9"/>
  <c r="I17" i="9" s="1"/>
  <c r="E21" i="17"/>
  <c r="G21" i="17" s="1"/>
  <c r="H21" i="17" s="1"/>
  <c r="F14" i="15"/>
  <c r="G14" i="15" s="1"/>
  <c r="B43" i="15" s="1"/>
  <c r="H19" i="16"/>
  <c r="I19" i="16" s="1"/>
  <c r="B43" i="9"/>
  <c r="B74" i="17"/>
  <c r="D17" i="17"/>
  <c r="B46" i="16"/>
  <c r="G31" i="17"/>
  <c r="H31" i="17" s="1"/>
  <c r="B28" i="24"/>
  <c r="F10" i="15"/>
  <c r="G10" i="15" s="1"/>
  <c r="H10" i="15" s="1"/>
  <c r="I10" i="15" s="1"/>
  <c r="F14" i="16"/>
  <c r="G14" i="16" s="1"/>
  <c r="H14" i="16" s="1"/>
  <c r="F13" i="24"/>
  <c r="G13" i="24" s="1"/>
  <c r="H13" i="24" s="1"/>
  <c r="I13" i="24" s="1"/>
  <c r="S1" i="19"/>
  <c r="E14" i="17" s="1"/>
  <c r="B80" i="17" s="1"/>
  <c r="E23" i="17" s="1"/>
  <c r="B49" i="17" s="1"/>
  <c r="F16" i="16"/>
  <c r="G16" i="16" s="1"/>
  <c r="D34" i="16" s="1"/>
  <c r="G34" i="16" s="1"/>
  <c r="B54" i="15"/>
  <c r="S1" i="22"/>
  <c r="E17" i="17" s="1"/>
  <c r="B59" i="9"/>
  <c r="F10" i="24"/>
  <c r="G10" i="24" s="1"/>
  <c r="H10" i="24" s="1"/>
  <c r="H19" i="9"/>
  <c r="H25" i="9" s="1"/>
  <c r="F16" i="9"/>
  <c r="G16" i="9" s="1"/>
  <c r="B47" i="9" s="1"/>
  <c r="B44" i="9"/>
  <c r="F10" i="9"/>
  <c r="G10" i="9" s="1"/>
  <c r="F13" i="9"/>
  <c r="G13" i="9" s="1"/>
  <c r="H13" i="9" s="1"/>
  <c r="H13" i="23"/>
  <c r="I13" i="23" s="1"/>
  <c r="H15" i="7"/>
  <c r="H21" i="7" s="1"/>
  <c r="B12" i="24"/>
  <c r="D12" i="24" s="1"/>
  <c r="F12" i="24" s="1"/>
  <c r="G12" i="24" s="1"/>
  <c r="B25" i="24" s="1"/>
  <c r="F14" i="9"/>
  <c r="G14" i="9" s="1"/>
  <c r="B46" i="9" s="1"/>
  <c r="B30" i="7"/>
  <c r="H12" i="7"/>
  <c r="H22" i="7" s="1"/>
  <c r="I19" i="15"/>
  <c r="B47" i="17"/>
  <c r="G32" i="17"/>
  <c r="H32" i="17" s="1"/>
  <c r="B35" i="7"/>
  <c r="H13" i="7"/>
  <c r="B14" i="7" s="1"/>
  <c r="D14" i="7" s="1"/>
  <c r="F14" i="7" s="1"/>
  <c r="G14" i="7" s="1"/>
  <c r="H13" i="15"/>
  <c r="B40" i="15"/>
  <c r="H25" i="15"/>
  <c r="B37" i="7"/>
  <c r="H16" i="7"/>
  <c r="C77" i="6" l="1"/>
  <c r="C84" i="6"/>
  <c r="B31" i="7"/>
  <c r="I13" i="16"/>
  <c r="D25" i="16"/>
  <c r="F25" i="16" s="1"/>
  <c r="G25" i="16" s="1"/>
  <c r="B50" i="16" s="1"/>
  <c r="C93" i="6" s="1"/>
  <c r="B41" i="16"/>
  <c r="C89" i="6"/>
  <c r="G17" i="17"/>
  <c r="H17" i="17" s="1"/>
  <c r="E20" i="17"/>
  <c r="G20" i="17" s="1"/>
  <c r="H10" i="23"/>
  <c r="I10" i="23" s="1"/>
  <c r="B25" i="23"/>
  <c r="B52" i="15"/>
  <c r="C75" i="6" s="1"/>
  <c r="H32" i="16"/>
  <c r="I32" i="16" s="1"/>
  <c r="H23" i="15"/>
  <c r="B39" i="15"/>
  <c r="B44" i="15"/>
  <c r="B42" i="9"/>
  <c r="C83" i="6" s="1"/>
  <c r="B40" i="16"/>
  <c r="B27" i="24"/>
  <c r="H14" i="15"/>
  <c r="B15" i="15" s="1"/>
  <c r="D15" i="15" s="1"/>
  <c r="F15" i="15" s="1"/>
  <c r="G15" i="15" s="1"/>
  <c r="B48" i="17"/>
  <c r="H12" i="24"/>
  <c r="I12" i="24" s="1"/>
  <c r="B12" i="15"/>
  <c r="D12" i="15" s="1"/>
  <c r="E12" i="15" s="1"/>
  <c r="F12" i="15" s="1"/>
  <c r="G12" i="15" s="1"/>
  <c r="B38" i="15" s="1"/>
  <c r="G22" i="17"/>
  <c r="H22" i="17" s="1"/>
  <c r="G23" i="17"/>
  <c r="H23" i="17" s="1"/>
  <c r="B45" i="16"/>
  <c r="E16" i="17"/>
  <c r="B44" i="17" s="1"/>
  <c r="H16" i="9"/>
  <c r="I16" i="9" s="1"/>
  <c r="G13" i="17"/>
  <c r="B15" i="17" s="1"/>
  <c r="D15" i="17" s="1"/>
  <c r="E15" i="17" s="1"/>
  <c r="H16" i="16"/>
  <c r="H34" i="16" s="1"/>
  <c r="B44" i="16"/>
  <c r="B26" i="24"/>
  <c r="I19" i="9"/>
  <c r="B41" i="9"/>
  <c r="H10" i="9"/>
  <c r="H14" i="9"/>
  <c r="H24" i="15"/>
  <c r="I13" i="15"/>
  <c r="I13" i="9"/>
  <c r="H24" i="9"/>
  <c r="B12" i="16"/>
  <c r="D12" i="16" s="1"/>
  <c r="E12" i="16" s="1"/>
  <c r="F12" i="16" s="1"/>
  <c r="G12" i="16" s="1"/>
  <c r="I10" i="16"/>
  <c r="I14" i="16"/>
  <c r="B15" i="16"/>
  <c r="D15" i="16" s="1"/>
  <c r="F15" i="16" s="1"/>
  <c r="G15" i="16" s="1"/>
  <c r="I10" i="24"/>
  <c r="B34" i="7"/>
  <c r="H14" i="7"/>
  <c r="B11" i="7"/>
  <c r="D11" i="7" s="1"/>
  <c r="E11" i="7" s="1"/>
  <c r="G11" i="7" l="1"/>
  <c r="I14" i="15"/>
  <c r="B45" i="17"/>
  <c r="B19" i="17"/>
  <c r="D19" i="17" s="1"/>
  <c r="E19" i="17" s="1"/>
  <c r="H19" i="23"/>
  <c r="C82" i="6"/>
  <c r="H12" i="15"/>
  <c r="D26" i="15" s="1"/>
  <c r="H23" i="9"/>
  <c r="I16" i="16"/>
  <c r="H19" i="24"/>
  <c r="H13" i="17"/>
  <c r="C87" i="6"/>
  <c r="C88" i="6"/>
  <c r="G16" i="17"/>
  <c r="G29" i="17" s="1"/>
  <c r="H29" i="17" s="1"/>
  <c r="H23" i="16"/>
  <c r="H25" i="16"/>
  <c r="I10" i="9"/>
  <c r="B12" i="9"/>
  <c r="D12" i="9" s="1"/>
  <c r="E12" i="9" s="1"/>
  <c r="F12" i="9" s="1"/>
  <c r="G12" i="9" s="1"/>
  <c r="B15" i="9"/>
  <c r="D15" i="9" s="1"/>
  <c r="F15" i="9" s="1"/>
  <c r="G15" i="9" s="1"/>
  <c r="I14" i="9"/>
  <c r="H15" i="16"/>
  <c r="B43" i="16"/>
  <c r="H12" i="16"/>
  <c r="B39" i="16"/>
  <c r="D26" i="16"/>
  <c r="F26" i="16" s="1"/>
  <c r="G26" i="16" s="1"/>
  <c r="B42" i="15"/>
  <c r="H15" i="15"/>
  <c r="B9" i="17"/>
  <c r="B63" i="17" s="1"/>
  <c r="H20" i="17"/>
  <c r="G28" i="17"/>
  <c r="H28" i="17" s="1"/>
  <c r="B42" i="17"/>
  <c r="G15" i="17"/>
  <c r="G4" i="7" l="1"/>
  <c r="B32" i="7"/>
  <c r="B29" i="7"/>
  <c r="C80" i="6" s="1"/>
  <c r="C85" i="6"/>
  <c r="E30" i="17"/>
  <c r="G30" i="17" s="1"/>
  <c r="H30" i="17" s="1"/>
  <c r="H16" i="17"/>
  <c r="I12" i="15"/>
  <c r="H12" i="9"/>
  <c r="B40" i="9"/>
  <c r="C81" i="6" s="1"/>
  <c r="B45" i="9"/>
  <c r="C86" i="6" s="1"/>
  <c r="H15" i="9"/>
  <c r="H26" i="16"/>
  <c r="H28" i="16" s="1"/>
  <c r="B49" i="16"/>
  <c r="C92" i="6" s="1"/>
  <c r="H15" i="17"/>
  <c r="I12" i="16"/>
  <c r="F26" i="15"/>
  <c r="G26" i="15" s="1"/>
  <c r="B50" i="15" s="1"/>
  <c r="B51" i="15"/>
  <c r="G19" i="17"/>
  <c r="H19" i="17" s="1"/>
  <c r="B43" i="17"/>
  <c r="I15" i="15"/>
  <c r="D33" i="15" s="1"/>
  <c r="I15" i="16"/>
  <c r="H11" i="7" l="1"/>
  <c r="D24" i="7" s="1"/>
  <c r="F24" i="7" s="1"/>
  <c r="G24" i="7" s="1"/>
  <c r="B42" i="7" s="1"/>
  <c r="B46" i="17"/>
  <c r="D33" i="16"/>
  <c r="C33" i="16"/>
  <c r="E33" i="16" s="1"/>
  <c r="H26" i="15"/>
  <c r="H28" i="15" s="1"/>
  <c r="C33" i="15" s="1"/>
  <c r="E33" i="15" s="1"/>
  <c r="F33" i="15" s="1"/>
  <c r="G33" i="15" s="1"/>
  <c r="H33" i="15" s="1"/>
  <c r="I12" i="9"/>
  <c r="D26" i="9"/>
  <c r="I15" i="9"/>
  <c r="D35" i="9"/>
  <c r="B37" i="17"/>
  <c r="B38" i="17" s="1"/>
  <c r="B43" i="7" l="1"/>
  <c r="H24" i="7"/>
  <c r="H25" i="7" s="1"/>
  <c r="F33" i="16"/>
  <c r="G33" i="16" s="1"/>
  <c r="H33" i="16" s="1"/>
  <c r="I33" i="16" s="1"/>
  <c r="I33" i="15"/>
  <c r="F26" i="9"/>
  <c r="G26" i="9" s="1"/>
  <c r="B58" i="9"/>
  <c r="C73" i="6" s="1"/>
  <c r="B57" i="9" l="1"/>
  <c r="C72" i="6" s="1"/>
  <c r="H26" i="9"/>
  <c r="H30" i="9" s="1"/>
  <c r="C117" i="6" s="1"/>
  <c r="C118" i="6" s="1"/>
  <c r="C131" i="6" s="1"/>
  <c r="C133" i="6" s="1"/>
  <c r="C130" i="6" l="1"/>
  <c r="C132" i="6" s="1"/>
  <c r="E15" i="6"/>
  <c r="C35" i="9"/>
  <c r="E35" i="9" s="1"/>
  <c r="F35" i="9" s="1"/>
  <c r="G35" i="9" s="1"/>
  <c r="H35" i="9" s="1"/>
  <c r="I35" i="9" s="1"/>
  <c r="C141" i="6" l="1"/>
  <c r="C142" i="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Qualcomm User</author>
    <author>Qualcomm</author>
    <author>Arun Ramanathan</author>
    <author>Ng, Kit</author>
  </authors>
  <commentList>
    <comment ref="B22" authorId="0" shapeId="0" xr:uid="{00000000-0006-0000-0300-000001000000}">
      <text>
        <r>
          <rPr>
            <b/>
            <sz val="9"/>
            <color indexed="81"/>
            <rFont val="Tahoma"/>
            <family val="2"/>
          </rPr>
          <t>Qualcomm User:</t>
        </r>
        <r>
          <rPr>
            <sz val="9"/>
            <color indexed="81"/>
            <rFont val="Tahoma"/>
            <family val="2"/>
          </rPr>
          <t xml:space="preserve">
Assumes ESCCLK source is PXO.</t>
        </r>
      </text>
    </comment>
    <comment ref="C22" authorId="0" shapeId="0" xr:uid="{00000000-0006-0000-0300-000002000000}">
      <text>
        <r>
          <rPr>
            <b/>
            <sz val="9"/>
            <color indexed="81"/>
            <rFont val="Tahoma"/>
            <family val="2"/>
          </rPr>
          <t>Qualcomm User:</t>
        </r>
        <r>
          <rPr>
            <sz val="9"/>
            <color indexed="81"/>
            <rFont val="Tahoma"/>
            <family val="2"/>
          </rPr>
          <t xml:space="preserve">
Example Entries: 1, 1.5, 2, 2.5, … (see SWI for more possible entries)</t>
        </r>
      </text>
    </comment>
    <comment ref="B24" authorId="1" shapeId="0" xr:uid="{00000000-0006-0000-0300-000003000000}">
      <text>
        <r>
          <rPr>
            <b/>
            <sz val="8"/>
            <color indexed="81"/>
            <rFont val="Tahoma"/>
            <family val="2"/>
          </rPr>
          <t>Qualcomm:</t>
        </r>
        <r>
          <rPr>
            <sz val="8"/>
            <color indexed="81"/>
            <rFont val="Tahoma"/>
            <family val="2"/>
          </rPr>
          <t xml:space="preserve">
set to 0's if IP Catalog version is not applicable to the PHY design</t>
        </r>
      </text>
    </comment>
    <comment ref="B36" authorId="2" shapeId="0" xr:uid="{00000000-0006-0000-0300-000004000000}">
      <text>
        <r>
          <rPr>
            <b/>
            <sz val="8"/>
            <color indexed="81"/>
            <rFont val="Tahoma"/>
            <family val="2"/>
          </rPr>
          <t xml:space="preserve">Arun Ramanathan:
</t>
        </r>
        <r>
          <rPr>
            <sz val="8"/>
            <color indexed="81"/>
            <rFont val="Tahoma"/>
            <family val="2"/>
          </rPr>
          <t>D</t>
        </r>
        <r>
          <rPr>
            <sz val="8"/>
            <color indexed="81"/>
            <rFont val="Tahoma"/>
            <family val="2"/>
          </rPr>
          <t>ot clock overclocking to support required porches.</t>
        </r>
      </text>
    </comment>
    <comment ref="C118" authorId="3" shapeId="0" xr:uid="{00000000-0006-0000-0300-000005000000}">
      <text>
        <r>
          <rPr>
            <b/>
            <sz val="9"/>
            <color indexed="81"/>
            <rFont val="Tahoma"/>
            <family val="2"/>
          </rPr>
          <t>Ng, Kit:</t>
        </r>
        <r>
          <rPr>
            <sz val="9"/>
            <color indexed="81"/>
            <rFont val="Tahoma"/>
            <family val="2"/>
          </rPr>
          <t xml:space="preserve">
controller latency: 13 pclk + 16 byteclk + 4 byte_intf_clk
PHY latency: 272 UI for DPHY; 140 UI for CPHY</t>
        </r>
      </text>
    </comment>
    <comment ref="B136" authorId="3" shapeId="0" xr:uid="{735F4946-CAB1-47F7-9B82-B087935C6ACB}">
      <text>
        <r>
          <rPr>
            <b/>
            <sz val="9"/>
            <color indexed="81"/>
            <rFont val="Tahoma"/>
            <family val="2"/>
          </rPr>
          <t>Ng, Kit:</t>
        </r>
        <r>
          <rPr>
            <sz val="9"/>
            <color indexed="81"/>
            <rFont val="Tahoma"/>
            <family val="2"/>
          </rPr>
          <t xml:space="preserve">
short packet = 4 byte
long packet = 4 byte packet header + X byte payload + 2 byte checksum</t>
        </r>
      </text>
    </comment>
    <comment ref="C141" authorId="3" shapeId="0" xr:uid="{BB6C81CD-B781-4DBD-A646-E592DC4BD4BB}">
      <text>
        <r>
          <rPr>
            <b/>
            <sz val="9"/>
            <color indexed="81"/>
            <rFont val="Tahoma"/>
            <family val="2"/>
          </rPr>
          <t>Ng, Kit:</t>
        </r>
        <r>
          <rPr>
            <sz val="9"/>
            <color indexed="81"/>
            <rFont val="Tahoma"/>
            <family val="2"/>
          </rPr>
          <t xml:space="preserve">
line time - hsync packet transfer time - LP-HS transition overhead</t>
        </r>
      </text>
    </comment>
    <comment ref="C142" authorId="3" shapeId="0" xr:uid="{1D50B8B3-5044-4F06-A182-6044BC2171D4}">
      <text>
        <r>
          <rPr>
            <b/>
            <sz val="9"/>
            <color indexed="81"/>
            <rFont val="Tahoma"/>
            <family val="2"/>
          </rPr>
          <t>Ng, Kit:</t>
        </r>
        <r>
          <rPr>
            <sz val="9"/>
            <color indexed="81"/>
            <rFont val="Tahoma"/>
            <family val="2"/>
          </rPr>
          <t xml:space="preserve">
"time allowed for DMA+BTA+panel response packet transfer" - DMA transfer time - BTA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Qualcomm</author>
    <author>Qualcomm User</author>
  </authors>
  <commentList>
    <comment ref="D8" authorId="0" shapeId="0" xr:uid="{00000000-0006-0000-0400-000001000000}">
      <text>
        <r>
          <rPr>
            <b/>
            <sz val="8"/>
            <color indexed="81"/>
            <rFont val="Tahoma"/>
            <family val="2"/>
          </rPr>
          <t>Qualcomm:</t>
        </r>
        <r>
          <rPr>
            <sz val="8"/>
            <color indexed="81"/>
            <rFont val="Tahoma"/>
            <family val="2"/>
          </rPr>
          <t xml:space="preserve">
calculated w.r.t. MIPI requirement between B9:C22 and the max programmable range</t>
        </r>
      </text>
    </comment>
    <comment ref="G8" authorId="0" shapeId="0" xr:uid="{00000000-0006-0000-0400-000002000000}">
      <text>
        <r>
          <rPr>
            <b/>
            <sz val="8"/>
            <color indexed="81"/>
            <rFont val="Tahoma"/>
            <family val="2"/>
          </rPr>
          <t>Qualcomm:</t>
        </r>
        <r>
          <rPr>
            <sz val="8"/>
            <color indexed="81"/>
            <rFont val="Tahoma"/>
            <family val="2"/>
          </rPr>
          <t xml:space="preserve">
mid value (F9:F22) is recommended, but user may program any value between  min and max</t>
        </r>
      </text>
    </comment>
    <comment ref="H8" authorId="0" shapeId="0" xr:uid="{00000000-0006-0000-0400-000003000000}">
      <text>
        <r>
          <rPr>
            <b/>
            <sz val="8"/>
            <color indexed="81"/>
            <rFont val="Tahoma"/>
            <family val="2"/>
          </rPr>
          <t>Qualcomm:</t>
        </r>
        <r>
          <rPr>
            <sz val="8"/>
            <color indexed="81"/>
            <rFont val="Tahoma"/>
            <family val="2"/>
          </rPr>
          <t xml:space="preserve">
actual period at the DSI link</t>
        </r>
      </text>
    </comment>
    <comment ref="C12" authorId="0" shapeId="0" xr:uid="{00000000-0006-0000-0400-000004000000}">
      <text>
        <r>
          <rPr>
            <b/>
            <sz val="8"/>
            <color indexed="81"/>
            <rFont val="Tahoma"/>
            <family val="2"/>
          </rPr>
          <t>Qualcomm:</t>
        </r>
        <r>
          <rPr>
            <sz val="8"/>
            <color indexed="81"/>
            <rFont val="Tahoma"/>
            <family val="2"/>
          </rPr>
          <t xml:space="preserve">
t_clk_trail must be smaller than max t_eot - treot. Treot = 20ns max</t>
        </r>
      </text>
    </comment>
    <comment ref="G14" authorId="0" shapeId="0" xr:uid="{00000000-0006-0000-0400-000005000000}">
      <text>
        <r>
          <rPr>
            <b/>
            <sz val="8"/>
            <color indexed="81"/>
            <rFont val="Tahoma"/>
            <family val="2"/>
          </rPr>
          <t>Qualcomm:</t>
        </r>
        <r>
          <rPr>
            <sz val="8"/>
            <color indexed="81"/>
            <rFont val="Tahoma"/>
            <family val="2"/>
          </rPr>
          <t xml:space="preserve">
must be greater than 24
</t>
        </r>
      </text>
    </comment>
    <comment ref="C15" authorId="0" shapeId="0" xr:uid="{00000000-0006-0000-0400-000006000000}">
      <text>
        <r>
          <rPr>
            <b/>
            <sz val="8"/>
            <color indexed="81"/>
            <rFont val="Tahoma"/>
            <family val="2"/>
          </rPr>
          <t>Qualcomm:</t>
        </r>
        <r>
          <rPr>
            <sz val="8"/>
            <color indexed="81"/>
            <rFont val="Tahoma"/>
            <family val="2"/>
          </rPr>
          <t xml:space="preserve">
t_hs_trail must be smaller than max t_eot - treot. Treot = 20ns max</t>
        </r>
      </text>
    </comment>
    <comment ref="G16" authorId="0" shapeId="0" xr:uid="{00000000-0006-0000-0400-000007000000}">
      <text>
        <r>
          <rPr>
            <b/>
            <sz val="8"/>
            <color indexed="81"/>
            <rFont val="Tahoma"/>
            <family val="2"/>
          </rPr>
          <t>Qualcomm:</t>
        </r>
        <r>
          <rPr>
            <sz val="8"/>
            <color indexed="81"/>
            <rFont val="Tahoma"/>
            <family val="2"/>
          </rPr>
          <t xml:space="preserve">
program this to an integer close to bitclk / escclk </t>
        </r>
      </text>
    </comment>
    <comment ref="H21" authorId="0" shapeId="0" xr:uid="{00000000-0006-0000-0400-000008000000}">
      <text>
        <r>
          <rPr>
            <b/>
            <sz val="8"/>
            <color indexed="81"/>
            <rFont val="Tahoma"/>
            <family val="2"/>
          </rPr>
          <t>Qualcomm:</t>
        </r>
        <r>
          <rPr>
            <sz val="8"/>
            <color indexed="81"/>
            <rFont val="Tahoma"/>
            <family val="2"/>
          </rPr>
          <t xml:space="preserve">
teot = t_hs_trail + avg treot.</t>
        </r>
      </text>
    </comment>
    <comment ref="H22" authorId="0" shapeId="0" xr:uid="{00000000-0006-0000-0400-000009000000}">
      <text>
        <r>
          <rPr>
            <b/>
            <sz val="8"/>
            <color indexed="81"/>
            <rFont val="Tahoma"/>
            <family val="2"/>
          </rPr>
          <t>Qualcomm:</t>
        </r>
        <r>
          <rPr>
            <sz val="8"/>
            <color indexed="81"/>
            <rFont val="Tahoma"/>
            <family val="2"/>
          </rPr>
          <t xml:space="preserve">
teot = t_clk_trail + avg 
treot.</t>
        </r>
      </text>
    </comment>
    <comment ref="H23" authorId="0" shapeId="0" xr:uid="{00000000-0006-0000-0400-00000A000000}">
      <text>
        <r>
          <rPr>
            <b/>
            <sz val="8"/>
            <color indexed="81"/>
            <rFont val="Tahoma"/>
            <family val="2"/>
          </rPr>
          <t>Qualcomm:</t>
        </r>
        <r>
          <rPr>
            <sz val="8"/>
            <color indexed="81"/>
            <rFont val="Tahoma"/>
            <family val="2"/>
          </rPr>
          <t xml:space="preserve">
Expected T_clk_post
= (program value + 1) x 8UI + t_hs_exit + 24 UI
</t>
        </r>
      </text>
    </comment>
    <comment ref="H24" authorId="0" shapeId="0" xr:uid="{00000000-0006-0000-0400-00000B000000}">
      <text>
        <r>
          <rPr>
            <b/>
            <sz val="8"/>
            <color indexed="81"/>
            <rFont val="Tahoma"/>
            <family val="2"/>
          </rPr>
          <t>Qualcomm:</t>
        </r>
        <r>
          <rPr>
            <sz val="8"/>
            <color indexed="81"/>
            <rFont val="Tahoma"/>
            <family val="2"/>
          </rPr>
          <t xml:space="preserve">
Expected T_clk_pre
= (program value + 1) x 8UI – 1 Tlpx – t_clk_prepare – t_clk_zero
</t>
        </r>
      </text>
    </comment>
    <comment ref="F51" authorId="1" shapeId="0" xr:uid="{00000000-0006-0000-0400-00000C000000}">
      <text>
        <r>
          <rPr>
            <b/>
            <sz val="9"/>
            <color indexed="81"/>
            <rFont val="Tahoma"/>
            <family val="2"/>
          </rPr>
          <t>Qualcomm User:</t>
        </r>
        <r>
          <rPr>
            <sz val="9"/>
            <color indexed="81"/>
            <rFont val="Tahoma"/>
            <family val="2"/>
          </rPr>
          <t xml:space="preserve">
</t>
        </r>
        <r>
          <rPr>
            <strike/>
            <sz val="9"/>
            <color indexed="81"/>
            <rFont val="Tahoma"/>
            <family val="2"/>
          </rPr>
          <t>* Fixed 50%
* Changed to 10 to help Tclk_pre not be too large.</t>
        </r>
        <r>
          <rPr>
            <sz val="9"/>
            <color indexed="81"/>
            <rFont val="Tahoma"/>
            <family val="2"/>
          </rPr>
          <t xml:space="preserve">
* Change to 10 and 40 based data rate, to give Tx-trail more margin to pass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Qualcomm</author>
    <author>Qualcomm User</author>
    <author>Ng, Kit</author>
  </authors>
  <commentList>
    <comment ref="D8" authorId="0" shapeId="0" xr:uid="{00000000-0006-0000-0500-000001000000}">
      <text>
        <r>
          <rPr>
            <b/>
            <sz val="8"/>
            <color indexed="81"/>
            <rFont val="Tahoma"/>
            <family val="2"/>
          </rPr>
          <t>Qualcomm:</t>
        </r>
        <r>
          <rPr>
            <sz val="8"/>
            <color indexed="81"/>
            <rFont val="Tahoma"/>
            <family val="2"/>
          </rPr>
          <t xml:space="preserve">
calculated w.r.t. MIPI requirement between B9:C22 and the max programmable range</t>
        </r>
      </text>
    </comment>
    <comment ref="G8" authorId="0" shapeId="0" xr:uid="{00000000-0006-0000-0500-000002000000}">
      <text>
        <r>
          <rPr>
            <b/>
            <sz val="8"/>
            <color indexed="81"/>
            <rFont val="Tahoma"/>
            <family val="2"/>
          </rPr>
          <t>Qualcomm:</t>
        </r>
        <r>
          <rPr>
            <sz val="8"/>
            <color indexed="81"/>
            <rFont val="Tahoma"/>
            <family val="2"/>
          </rPr>
          <t xml:space="preserve">
mid value (F9:F22) is recommended, but user may program any value between  min and max</t>
        </r>
      </text>
    </comment>
    <comment ref="H8" authorId="0" shapeId="0" xr:uid="{00000000-0006-0000-0500-000003000000}">
      <text>
        <r>
          <rPr>
            <b/>
            <sz val="8"/>
            <color indexed="81"/>
            <rFont val="Tahoma"/>
            <family val="2"/>
          </rPr>
          <t>Qualcomm:</t>
        </r>
        <r>
          <rPr>
            <sz val="8"/>
            <color indexed="81"/>
            <rFont val="Tahoma"/>
            <family val="2"/>
          </rPr>
          <t xml:space="preserve">
actual period at the DSI link</t>
        </r>
      </text>
    </comment>
    <comment ref="G10" authorId="0" shapeId="0" xr:uid="{00000000-0006-0000-0500-000004000000}">
      <text>
        <r>
          <rPr>
            <b/>
            <sz val="8"/>
            <color indexed="81"/>
            <rFont val="Tahoma"/>
            <family val="2"/>
          </rPr>
          <t>Qualcomm:</t>
        </r>
        <r>
          <rPr>
            <sz val="8"/>
            <color indexed="81"/>
            <rFont val="Tahoma"/>
            <family val="2"/>
          </rPr>
          <t xml:space="preserve">
8UI Control using DSIPHY_T_HS_PREPARE</t>
        </r>
      </text>
    </comment>
    <comment ref="H10" authorId="0" shapeId="0" xr:uid="{00000000-0006-0000-0500-000005000000}">
      <text>
        <r>
          <rPr>
            <b/>
            <sz val="8"/>
            <color indexed="81"/>
            <rFont val="Tahoma"/>
            <family val="2"/>
          </rPr>
          <t>Qualcomm:</t>
        </r>
        <r>
          <rPr>
            <sz val="8"/>
            <color indexed="81"/>
            <rFont val="Tahoma"/>
            <family val="2"/>
          </rPr>
          <t xml:space="preserve">
if DSIPHY_HSTX_HALFBYTECLK_EN = 0, 
T_CLK_PREPARE = DSIPHY_T_HS_PREPARE * 8 + DSIPHY_HSTX_PREPARE_DLY * 2
if DSIPHY_HSTX_HALFBYTECLK_EN = 1, 
T_CLK_PREPARE = (DSIPHY_T_HS_PREPARE + 0.5) * 8 + DSIPHY_HSTX_PREPARE_DLY * 2</t>
        </r>
      </text>
    </comment>
    <comment ref="G11" authorId="0" shapeId="0" xr:uid="{00000000-0006-0000-0500-000006000000}">
      <text>
        <r>
          <rPr>
            <b/>
            <sz val="8"/>
            <color indexed="81"/>
            <rFont val="Tahoma"/>
            <family val="2"/>
          </rPr>
          <t>Qualcomm:
2UI control using DSIPHY_HSTX_PREPARE_DLY</t>
        </r>
        <r>
          <rPr>
            <sz val="8"/>
            <color indexed="81"/>
            <rFont val="Tahoma"/>
            <family val="2"/>
          </rPr>
          <t xml:space="preserve">
</t>
        </r>
      </text>
    </comment>
    <comment ref="H12" authorId="1" shapeId="0" xr:uid="{00000000-0006-0000-0500-000007000000}">
      <text>
        <r>
          <rPr>
            <b/>
            <sz val="9"/>
            <color indexed="81"/>
            <rFont val="Tahoma"/>
            <family val="2"/>
          </rPr>
          <t>Qualcomm User:</t>
        </r>
        <r>
          <rPr>
            <sz val="9"/>
            <color indexed="81"/>
            <rFont val="Tahoma"/>
            <family val="2"/>
          </rPr>
          <t xml:space="preserve">
(DSIPHY_T_HS_ZERO + 3) * 8 + 11 - (DSIPHY_HSTX_PREPARE_DLY)*2</t>
        </r>
      </text>
    </comment>
    <comment ref="C13" authorId="0" shapeId="0" xr:uid="{00000000-0006-0000-0500-000008000000}">
      <text>
        <r>
          <rPr>
            <b/>
            <sz val="8"/>
            <color indexed="81"/>
            <rFont val="Tahoma"/>
            <family val="2"/>
          </rPr>
          <t>Qualcomm:</t>
        </r>
        <r>
          <rPr>
            <sz val="8"/>
            <color indexed="81"/>
            <rFont val="Tahoma"/>
            <family val="2"/>
          </rPr>
          <t xml:space="preserve">
t_clk_trail must be smaller than max t_eot - treot. Treot = 20ns max</t>
        </r>
      </text>
    </comment>
    <comment ref="H13" authorId="1" shapeId="0" xr:uid="{00000000-0006-0000-0500-000009000000}">
      <text>
        <r>
          <rPr>
            <b/>
            <sz val="9"/>
            <color indexed="81"/>
            <rFont val="Tahoma"/>
            <family val="2"/>
          </rPr>
          <t>Qualcomm User:</t>
        </r>
        <r>
          <rPr>
            <sz val="9"/>
            <color indexed="81"/>
            <rFont val="Tahoma"/>
            <family val="2"/>
          </rPr>
          <t xml:space="preserve">
t_clk_trail = 
DSIPHY_T_CLK_TRAIL* 8 – 3</t>
        </r>
      </text>
    </comment>
    <comment ref="H14" authorId="1" shapeId="0" xr:uid="{00000000-0006-0000-0500-00000A000000}">
      <text>
        <r>
          <rPr>
            <b/>
            <sz val="9"/>
            <color indexed="81"/>
            <rFont val="Tahoma"/>
            <family val="2"/>
          </rPr>
          <t>Qualcomm User:</t>
        </r>
        <r>
          <rPr>
            <sz val="9"/>
            <color indexed="81"/>
            <rFont val="Tahoma"/>
            <family val="2"/>
          </rPr>
          <t xml:space="preserve">
if DSIPHY_HSTX_HALFBYTECLK_EN = 0, 
T_CLK_PREPARE = DSIPHY_T_HS_PREPARE * 8 + DSIPHY_HSTX_PREPARE_DLY * 2
if DSIPHY_HSTX_HALFBYTECLK_EN = 1, 
T_CLK_PREPARE = (DSIPHY_T_HS_PREPARE + 0.5) * 8 + DSIPHY_HSTX_PREPARE_DLY * 2
note: there's no need to set DSIPHY_HSTX_PREPARE_DLY to non-zero value for data lanes. it is only applicable for clk lane</t>
        </r>
      </text>
    </comment>
    <comment ref="H15" authorId="1" shapeId="0" xr:uid="{00000000-0006-0000-0500-00000B000000}">
      <text>
        <r>
          <rPr>
            <b/>
            <sz val="9"/>
            <color indexed="81"/>
            <rFont val="Tahoma"/>
            <family val="2"/>
          </rPr>
          <t>Qualcomm User:</t>
        </r>
        <r>
          <rPr>
            <sz val="9"/>
            <color indexed="81"/>
            <rFont val="Tahoma"/>
            <family val="2"/>
          </rPr>
          <t xml:space="preserve">
UI Calculation: (DSIPHY_T_HS_ZERO + 3) * 8 + 11 - (DSIPHY_HSTX_PREPARE_DLY)*2</t>
        </r>
      </text>
    </comment>
    <comment ref="C16" authorId="0" shapeId="0" xr:uid="{00000000-0006-0000-0500-00000C000000}">
      <text>
        <r>
          <rPr>
            <b/>
            <sz val="8"/>
            <color indexed="81"/>
            <rFont val="Tahoma"/>
            <family val="2"/>
          </rPr>
          <t>Qualcomm:</t>
        </r>
        <r>
          <rPr>
            <sz val="8"/>
            <color indexed="81"/>
            <rFont val="Tahoma"/>
            <family val="2"/>
          </rPr>
          <t xml:space="preserve">
t_hs_trail must be smaller than max t_eot - treot. Treot = 20ns max</t>
        </r>
      </text>
    </comment>
    <comment ref="H16" authorId="1" shapeId="0" xr:uid="{00000000-0006-0000-0500-00000D000000}">
      <text>
        <r>
          <rPr>
            <b/>
            <sz val="9"/>
            <color indexed="81"/>
            <rFont val="Tahoma"/>
            <family val="2"/>
          </rPr>
          <t>Qualcomm User:</t>
        </r>
        <r>
          <rPr>
            <sz val="9"/>
            <color indexed="81"/>
            <rFont val="Tahoma"/>
            <family val="2"/>
          </rPr>
          <t xml:space="preserve">
t_hs_trail = DSIPHY_T_HS_TRAIL * 8 – 3</t>
        </r>
      </text>
    </comment>
    <comment ref="G17" authorId="0" shapeId="0" xr:uid="{00000000-0006-0000-0500-00000E000000}">
      <text>
        <r>
          <rPr>
            <b/>
            <sz val="8"/>
            <color indexed="81"/>
            <rFont val="Tahoma"/>
            <family val="2"/>
          </rPr>
          <t>Qualcomm:</t>
        </r>
        <r>
          <rPr>
            <sz val="8"/>
            <color indexed="81"/>
            <rFont val="Tahoma"/>
            <family val="2"/>
          </rPr>
          <t xml:space="preserve">
8UI control
program this to an integer close to bitclk / escclk </t>
        </r>
      </text>
    </comment>
    <comment ref="H17" authorId="0" shapeId="0" xr:uid="{00000000-0006-0000-0500-00000F000000}">
      <text>
        <r>
          <rPr>
            <b/>
            <sz val="8"/>
            <color indexed="81"/>
            <rFont val="Tahoma"/>
            <family val="2"/>
          </rPr>
          <t>Qualcomm:</t>
        </r>
        <r>
          <rPr>
            <sz val="8"/>
            <color indexed="81"/>
            <rFont val="Tahoma"/>
            <family val="2"/>
          </rPr>
          <t xml:space="preserve">
If DSIPHY_HSTX_HALFBYTECLK_EN = 0, t_hs_rqst = (DSIPHY_T_HS_RQST + 1) * 8;
If DSIPHY_HSTX_HALFBYTECLK_EN = 1, t_hs_rqst = (DSIPHY_T_HS_RQST + 0.5) * 8;</t>
        </r>
      </text>
    </comment>
    <comment ref="G18" authorId="0" shapeId="0" xr:uid="{00000000-0006-0000-0500-000010000000}">
      <text>
        <r>
          <rPr>
            <b/>
            <sz val="8"/>
            <color indexed="81"/>
            <rFont val="Tahoma"/>
            <family val="2"/>
          </rPr>
          <t>Qualcomm:</t>
        </r>
        <r>
          <rPr>
            <sz val="8"/>
            <color indexed="81"/>
            <rFont val="Tahoma"/>
            <family val="2"/>
          </rPr>
          <t xml:space="preserve">
4UI control
program this to an integer close to bitclk / escclk </t>
        </r>
      </text>
    </comment>
    <comment ref="H23" authorId="0" shapeId="0" xr:uid="{00000000-0006-0000-0500-000011000000}">
      <text>
        <r>
          <rPr>
            <b/>
            <sz val="8"/>
            <color indexed="81"/>
            <rFont val="Tahoma"/>
            <family val="2"/>
          </rPr>
          <t>Qualcomm:</t>
        </r>
        <r>
          <rPr>
            <sz val="8"/>
            <color indexed="81"/>
            <rFont val="Tahoma"/>
            <family val="2"/>
          </rPr>
          <t xml:space="preserve">
teot = t_hs_trail + avg treot.</t>
        </r>
      </text>
    </comment>
    <comment ref="H24" authorId="0" shapeId="0" xr:uid="{00000000-0006-0000-0500-000012000000}">
      <text>
        <r>
          <rPr>
            <b/>
            <sz val="8"/>
            <color indexed="81"/>
            <rFont val="Tahoma"/>
            <family val="2"/>
          </rPr>
          <t>Qualcomm:</t>
        </r>
        <r>
          <rPr>
            <sz val="8"/>
            <color indexed="81"/>
            <rFont val="Tahoma"/>
            <family val="2"/>
          </rPr>
          <t xml:space="preserve">
teot = t_clk_trail + avg 
treot.</t>
        </r>
      </text>
    </comment>
    <comment ref="H25" authorId="0" shapeId="0" xr:uid="{00000000-0006-0000-0500-000013000000}">
      <text>
        <r>
          <rPr>
            <b/>
            <sz val="8"/>
            <color indexed="81"/>
            <rFont val="Tahoma"/>
            <family val="2"/>
          </rPr>
          <t>Qualcomm:</t>
        </r>
        <r>
          <rPr>
            <sz val="8"/>
            <color indexed="81"/>
            <rFont val="Tahoma"/>
            <family val="2"/>
          </rPr>
          <t xml:space="preserve">
Expected T_clk_post
= (program value + 1) x 8UI + 72 UI + t_hs_exit
</t>
        </r>
      </text>
    </comment>
    <comment ref="H26" authorId="0" shapeId="0" xr:uid="{00000000-0006-0000-0500-000014000000}">
      <text>
        <r>
          <rPr>
            <b/>
            <sz val="8"/>
            <color indexed="81"/>
            <rFont val="Tahoma"/>
            <family val="2"/>
          </rPr>
          <t>Qualcomm:</t>
        </r>
        <r>
          <rPr>
            <sz val="8"/>
            <color indexed="81"/>
            <rFont val="Tahoma"/>
            <family val="2"/>
          </rPr>
          <t xml:space="preserve">
Expected T_clk_pre
= (program value + 1) x 8UI – t_hs_rqst – t_clk_prepare – t_clk_zero
</t>
        </r>
      </text>
    </comment>
    <comment ref="G27" authorId="0" shapeId="0" xr:uid="{00000000-0006-0000-0500-000015000000}">
      <text>
        <r>
          <rPr>
            <b/>
            <sz val="8"/>
            <color indexed="81"/>
            <rFont val="Tahoma"/>
            <family val="2"/>
          </rPr>
          <t>Qualcomm:</t>
        </r>
        <r>
          <rPr>
            <sz val="8"/>
            <color indexed="81"/>
            <rFont val="Tahoma"/>
            <family val="2"/>
          </rPr>
          <t xml:space="preserve">
8UI control
program this to an integer close to bitclk / escclk </t>
        </r>
      </text>
    </comment>
    <comment ref="H27" authorId="0" shapeId="0" xr:uid="{00000000-0006-0000-0500-000016000000}">
      <text>
        <r>
          <rPr>
            <b/>
            <sz val="8"/>
            <color indexed="81"/>
            <rFont val="Tahoma"/>
            <family val="2"/>
          </rPr>
          <t>Qualcomm:</t>
        </r>
        <r>
          <rPr>
            <sz val="8"/>
            <color indexed="81"/>
            <rFont val="Tahoma"/>
            <family val="2"/>
          </rPr>
          <t xml:space="preserve">
If DSIPHY_HSTX_HALFBYTECLK_EN = 0, t_hs_rqst = (DSIPHY_T_HS_RQST + 1) * 8;
If DSIPHY_HSTX_HALFBYTECLK_EN = 1, t_hs_rqst = (DSIPHY_T_HS_RQST + 0.5) * 8;</t>
        </r>
      </text>
    </comment>
    <comment ref="G28" authorId="0" shapeId="0" xr:uid="{00000000-0006-0000-0500-000017000000}">
      <text>
        <r>
          <rPr>
            <b/>
            <sz val="8"/>
            <color indexed="81"/>
            <rFont val="Tahoma"/>
            <family val="2"/>
          </rPr>
          <t>Qualcomm:
2UI control using DSIPHY_HSTX_PREPARE_DLY</t>
        </r>
        <r>
          <rPr>
            <sz val="8"/>
            <color indexed="81"/>
            <rFont val="Tahoma"/>
            <family val="2"/>
          </rPr>
          <t xml:space="preserve">
</t>
        </r>
      </text>
    </comment>
    <comment ref="G29" authorId="0" shapeId="0" xr:uid="{00000000-0006-0000-0500-000018000000}">
      <text>
        <r>
          <rPr>
            <b/>
            <sz val="8"/>
            <color indexed="81"/>
            <rFont val="Tahoma"/>
            <family val="2"/>
          </rPr>
          <t>Qualcomm:
2UI control using DSIPHY_HSTX_PREPARE_DLY</t>
        </r>
        <r>
          <rPr>
            <sz val="8"/>
            <color indexed="81"/>
            <rFont val="Tahoma"/>
            <family val="2"/>
          </rPr>
          <t xml:space="preserve">
</t>
        </r>
      </text>
    </comment>
    <comment ref="D32" authorId="0" shapeId="0" xr:uid="{00000000-0006-0000-0500-000019000000}">
      <text>
        <r>
          <rPr>
            <b/>
            <sz val="8"/>
            <color indexed="81"/>
            <rFont val="Tahoma"/>
            <family val="2"/>
          </rPr>
          <t>Qualcomm:</t>
        </r>
        <r>
          <rPr>
            <sz val="8"/>
            <color indexed="81"/>
            <rFont val="Tahoma"/>
            <family val="2"/>
          </rPr>
          <t xml:space="preserve">
calculated w.r.t. MIPI requirement between B9:C22 and the max programmable range</t>
        </r>
      </text>
    </comment>
    <comment ref="G32" authorId="0" shapeId="0" xr:uid="{00000000-0006-0000-0500-00001A000000}">
      <text>
        <r>
          <rPr>
            <b/>
            <sz val="8"/>
            <color indexed="81"/>
            <rFont val="Tahoma"/>
            <family val="2"/>
          </rPr>
          <t>Qualcomm:</t>
        </r>
        <r>
          <rPr>
            <sz val="8"/>
            <color indexed="81"/>
            <rFont val="Tahoma"/>
            <family val="2"/>
          </rPr>
          <t xml:space="preserve">
mid value (F9:F22) is recommended, but user may program any value between  min and max</t>
        </r>
      </text>
    </comment>
    <comment ref="H32" authorId="0" shapeId="0" xr:uid="{00000000-0006-0000-0500-00001B000000}">
      <text>
        <r>
          <rPr>
            <b/>
            <sz val="8"/>
            <color indexed="81"/>
            <rFont val="Tahoma"/>
            <family val="2"/>
          </rPr>
          <t>Qualcomm:</t>
        </r>
        <r>
          <rPr>
            <sz val="8"/>
            <color indexed="81"/>
            <rFont val="Tahoma"/>
            <family val="2"/>
          </rPr>
          <t xml:space="preserve">
actual period at the DSI link</t>
        </r>
      </text>
    </comment>
    <comment ref="C35" authorId="2" shapeId="0" xr:uid="{00000000-0006-0000-0500-00001C000000}">
      <text>
        <r>
          <rPr>
            <b/>
            <sz val="9"/>
            <color indexed="81"/>
            <rFont val="Tahoma"/>
            <family val="2"/>
          </rPr>
          <t>Ng, Kit:</t>
        </r>
        <r>
          <rPr>
            <sz val="9"/>
            <color indexed="81"/>
            <rFont val="Tahoma"/>
            <family val="2"/>
          </rPr>
          <t xml:space="preserve">
max requirement from mipi is 10us, but the duration should not exceed 1 hsync period in video mode operation</t>
        </r>
      </text>
    </comment>
    <comment ref="B61" authorId="2" shapeId="0" xr:uid="{00000000-0006-0000-0500-00001D000000}">
      <text>
        <r>
          <rPr>
            <b/>
            <sz val="9"/>
            <color indexed="81"/>
            <rFont val="Tahoma"/>
            <family val="2"/>
          </rPr>
          <t>Ng, Kit:</t>
        </r>
        <r>
          <rPr>
            <sz val="9"/>
            <color indexed="81"/>
            <rFont val="Tahoma"/>
            <family val="2"/>
          </rPr>
          <t xml:space="preserve">
if hsync period is shorter than 5us, keep clock lane in HS mode when transitioning from hsync packet transfer to deskew calibration and from deskew calibration to the next hsync packet transfer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Qualcomm</author>
    <author>Qualcomm User</author>
    <author>Ng, Kit</author>
  </authors>
  <commentList>
    <comment ref="D8" authorId="0" shapeId="0" xr:uid="{00000000-0006-0000-0600-000001000000}">
      <text>
        <r>
          <rPr>
            <b/>
            <sz val="8"/>
            <color indexed="81"/>
            <rFont val="Tahoma"/>
            <family val="2"/>
          </rPr>
          <t>Qualcomm:</t>
        </r>
        <r>
          <rPr>
            <sz val="8"/>
            <color indexed="81"/>
            <rFont val="Tahoma"/>
            <family val="2"/>
          </rPr>
          <t xml:space="preserve">
calculated w.r.t. MIPI requirement between B9:C22 and the max programmable range</t>
        </r>
      </text>
    </comment>
    <comment ref="G8" authorId="0" shapeId="0" xr:uid="{00000000-0006-0000-0600-000002000000}">
      <text>
        <r>
          <rPr>
            <b/>
            <sz val="8"/>
            <color indexed="81"/>
            <rFont val="Tahoma"/>
            <family val="2"/>
          </rPr>
          <t>Qualcomm:</t>
        </r>
        <r>
          <rPr>
            <sz val="8"/>
            <color indexed="81"/>
            <rFont val="Tahoma"/>
            <family val="2"/>
          </rPr>
          <t xml:space="preserve">
mid value (F9:F22) is recommended, but user may program any value between  min and max</t>
        </r>
      </text>
    </comment>
    <comment ref="H8" authorId="0" shapeId="0" xr:uid="{00000000-0006-0000-0600-000003000000}">
      <text>
        <r>
          <rPr>
            <b/>
            <sz val="8"/>
            <color indexed="81"/>
            <rFont val="Tahoma"/>
            <family val="2"/>
          </rPr>
          <t>Qualcomm:</t>
        </r>
        <r>
          <rPr>
            <sz val="8"/>
            <color indexed="81"/>
            <rFont val="Tahoma"/>
            <family val="2"/>
          </rPr>
          <t xml:space="preserve">
actual period at the DSI link</t>
        </r>
      </text>
    </comment>
    <comment ref="G10" authorId="0" shapeId="0" xr:uid="{00000000-0006-0000-0600-000004000000}">
      <text>
        <r>
          <rPr>
            <b/>
            <sz val="8"/>
            <color indexed="81"/>
            <rFont val="Tahoma"/>
            <family val="2"/>
          </rPr>
          <t>Qualcomm:</t>
        </r>
        <r>
          <rPr>
            <sz val="8"/>
            <color indexed="81"/>
            <rFont val="Tahoma"/>
            <family val="2"/>
          </rPr>
          <t xml:space="preserve">
8UI Control using DSIPHY_T_HS_PREPARE</t>
        </r>
      </text>
    </comment>
    <comment ref="H10" authorId="0" shapeId="0" xr:uid="{00000000-0006-0000-0600-000005000000}">
      <text>
        <r>
          <rPr>
            <b/>
            <sz val="8"/>
            <color indexed="81"/>
            <rFont val="Tahoma"/>
            <family val="2"/>
          </rPr>
          <t>Qualcomm:</t>
        </r>
        <r>
          <rPr>
            <sz val="8"/>
            <color indexed="81"/>
            <rFont val="Tahoma"/>
            <family val="2"/>
          </rPr>
          <t xml:space="preserve">
T_CLK_PREPARE = DSIPHY_T_HS_PREPARE * 8 + DSIPHY_HSTX_HALFBYTECLK_EN * 4
</t>
        </r>
      </text>
    </comment>
    <comment ref="G11" authorId="0" shapeId="0" xr:uid="{00000000-0006-0000-0600-000006000000}">
      <text>
        <r>
          <rPr>
            <b/>
            <sz val="8"/>
            <color indexed="81"/>
            <rFont val="Tahoma"/>
            <family val="2"/>
          </rPr>
          <t>Qualcomm:
2UI control using DSIPHY_HSTX_PREPARE_DLY</t>
        </r>
        <r>
          <rPr>
            <sz val="8"/>
            <color indexed="81"/>
            <rFont val="Tahoma"/>
            <family val="2"/>
          </rPr>
          <t xml:space="preserve">
</t>
        </r>
      </text>
    </comment>
    <comment ref="H12" authorId="1" shapeId="0" xr:uid="{00000000-0006-0000-0600-000007000000}">
      <text>
        <r>
          <rPr>
            <b/>
            <sz val="9"/>
            <color indexed="81"/>
            <rFont val="Tahoma"/>
            <family val="2"/>
          </rPr>
          <t>Qualcomm User:</t>
        </r>
        <r>
          <rPr>
            <sz val="9"/>
            <color indexed="81"/>
            <rFont val="Tahoma"/>
            <family val="2"/>
          </rPr>
          <t xml:space="preserve">
(DSIPHY_T_HS_ZERO + 1) * 8</t>
        </r>
      </text>
    </comment>
    <comment ref="I12" authorId="1" shapeId="0" xr:uid="{00000000-0006-0000-0600-000008000000}">
      <text>
        <r>
          <rPr>
            <b/>
            <sz val="8"/>
            <color indexed="81"/>
            <rFont val="Tahoma"/>
            <family val="2"/>
          </rPr>
          <t>Qualcomm User:</t>
        </r>
        <r>
          <rPr>
            <sz val="8"/>
            <color indexed="81"/>
            <rFont val="Tahoma"/>
            <family val="2"/>
          </rPr>
          <t xml:space="preserve">
Tclk-prepare + Tclk-zero</t>
        </r>
      </text>
    </comment>
    <comment ref="C13" authorId="0" shapeId="0" xr:uid="{00000000-0006-0000-0600-000009000000}">
      <text>
        <r>
          <rPr>
            <b/>
            <sz val="8"/>
            <color indexed="81"/>
            <rFont val="Tahoma"/>
            <family val="2"/>
          </rPr>
          <t>Qualcomm:</t>
        </r>
        <r>
          <rPr>
            <sz val="8"/>
            <color indexed="81"/>
            <rFont val="Tahoma"/>
            <family val="2"/>
          </rPr>
          <t xml:space="preserve">
t_clk_trail must be smaller than max t_eot - treot. Treot = 20ns max</t>
        </r>
      </text>
    </comment>
    <comment ref="H13" authorId="1" shapeId="0" xr:uid="{00000000-0006-0000-0600-00000A000000}">
      <text>
        <r>
          <rPr>
            <b/>
            <sz val="9"/>
            <color indexed="81"/>
            <rFont val="Tahoma"/>
            <family val="2"/>
          </rPr>
          <t>Qualcomm User:</t>
        </r>
        <r>
          <rPr>
            <sz val="9"/>
            <color indexed="81"/>
            <rFont val="Tahoma"/>
            <family val="2"/>
          </rPr>
          <t xml:space="preserve">
t_clk_trail = 
(
DSIPHY_T_CLK_TRAIL+1)* 8</t>
        </r>
      </text>
    </comment>
    <comment ref="H14" authorId="1" shapeId="0" xr:uid="{00000000-0006-0000-0600-00000B000000}">
      <text>
        <r>
          <rPr>
            <b/>
            <sz val="9"/>
            <color indexed="81"/>
            <rFont val="Tahoma"/>
            <family val="2"/>
          </rPr>
          <t>Qualcomm User:</t>
        </r>
        <r>
          <rPr>
            <sz val="9"/>
            <color indexed="81"/>
            <rFont val="Tahoma"/>
            <family val="2"/>
          </rPr>
          <t xml:space="preserve">
T_CLK_PREPARE = DSIPHY_T_HS_PREPARE * 8 + DSIPHY_HSTX_HALFBYTECLK_EN * 4
</t>
        </r>
      </text>
    </comment>
    <comment ref="H15" authorId="1" shapeId="0" xr:uid="{00000000-0006-0000-0600-00000C000000}">
      <text>
        <r>
          <rPr>
            <b/>
            <sz val="9"/>
            <color indexed="81"/>
            <rFont val="Tahoma"/>
            <family val="2"/>
          </rPr>
          <t>Qualcomm User:</t>
        </r>
        <r>
          <rPr>
            <sz val="9"/>
            <color indexed="81"/>
            <rFont val="Tahoma"/>
            <family val="2"/>
          </rPr>
          <t xml:space="preserve">
UI Calculation: (DSIPHY_T_HS_ZERO + 1) * 8</t>
        </r>
      </text>
    </comment>
    <comment ref="I15" authorId="1" shapeId="0" xr:uid="{00000000-0006-0000-0600-00000D000000}">
      <text>
        <r>
          <rPr>
            <b/>
            <sz val="8"/>
            <color indexed="81"/>
            <rFont val="Tahoma"/>
            <family val="2"/>
          </rPr>
          <t>Qualcomm User:</t>
        </r>
        <r>
          <rPr>
            <sz val="8"/>
            <color indexed="81"/>
            <rFont val="Tahoma"/>
            <family val="2"/>
          </rPr>
          <t xml:space="preserve">
Ths-prepare + Ths-zero</t>
        </r>
      </text>
    </comment>
    <comment ref="C16" authorId="0" shapeId="0" xr:uid="{00000000-0006-0000-0600-00000E000000}">
      <text>
        <r>
          <rPr>
            <b/>
            <sz val="8"/>
            <color indexed="81"/>
            <rFont val="Tahoma"/>
            <family val="2"/>
          </rPr>
          <t>Qualcomm:</t>
        </r>
        <r>
          <rPr>
            <sz val="8"/>
            <color indexed="81"/>
            <rFont val="Tahoma"/>
            <family val="2"/>
          </rPr>
          <t xml:space="preserve">
t_hs_trail must be smaller than max t_eot - treot. Treot = 20ns max</t>
        </r>
      </text>
    </comment>
    <comment ref="H16" authorId="1" shapeId="0" xr:uid="{00000000-0006-0000-0600-00000F000000}">
      <text>
        <r>
          <rPr>
            <b/>
            <sz val="9"/>
            <color indexed="81"/>
            <rFont val="Tahoma"/>
            <family val="2"/>
          </rPr>
          <t>Qualcomm User:</t>
        </r>
        <r>
          <rPr>
            <sz val="9"/>
            <color indexed="81"/>
            <rFont val="Tahoma"/>
            <family val="2"/>
          </rPr>
          <t xml:space="preserve">
t_hs_trail = (DSIPHY_T_HS_TRAIL+1) * 8
</t>
        </r>
      </text>
    </comment>
    <comment ref="G17" authorId="0" shapeId="0" xr:uid="{00000000-0006-0000-0600-000010000000}">
      <text>
        <r>
          <rPr>
            <b/>
            <sz val="8"/>
            <color indexed="81"/>
            <rFont val="Tahoma"/>
            <family val="2"/>
          </rPr>
          <t>Qualcomm:</t>
        </r>
        <r>
          <rPr>
            <sz val="8"/>
            <color indexed="81"/>
            <rFont val="Tahoma"/>
            <family val="2"/>
          </rPr>
          <t xml:space="preserve">
8UI control
program this to an integer close to bitclk / escclk </t>
        </r>
      </text>
    </comment>
    <comment ref="H17" authorId="0" shapeId="0" xr:uid="{00000000-0006-0000-0600-000011000000}">
      <text>
        <r>
          <rPr>
            <b/>
            <sz val="8"/>
            <color indexed="81"/>
            <rFont val="Tahoma"/>
            <family val="2"/>
          </rPr>
          <t>Qualcomm:</t>
        </r>
        <r>
          <rPr>
            <sz val="8"/>
            <color indexed="81"/>
            <rFont val="Tahoma"/>
            <family val="2"/>
          </rPr>
          <t xml:space="preserve">
(DSIPHY_T_HS_RQST + 1) * 8 - DSIPHY_HSTX_HALFBYTECLK_EN * 4</t>
        </r>
      </text>
    </comment>
    <comment ref="G18" authorId="0" shapeId="0" xr:uid="{00000000-0006-0000-0600-000012000000}">
      <text>
        <r>
          <rPr>
            <b/>
            <sz val="8"/>
            <color indexed="81"/>
            <rFont val="Tahoma"/>
            <family val="2"/>
          </rPr>
          <t>Qualcomm:</t>
        </r>
        <r>
          <rPr>
            <sz val="8"/>
            <color indexed="81"/>
            <rFont val="Tahoma"/>
            <family val="2"/>
          </rPr>
          <t xml:space="preserve">
4UI control
program this to an integer close to bitclk / escclk </t>
        </r>
      </text>
    </comment>
    <comment ref="H23" authorId="0" shapeId="0" xr:uid="{00000000-0006-0000-0600-000013000000}">
      <text>
        <r>
          <rPr>
            <b/>
            <sz val="8"/>
            <color indexed="81"/>
            <rFont val="Tahoma"/>
            <family val="2"/>
          </rPr>
          <t>Qualcomm:</t>
        </r>
        <r>
          <rPr>
            <sz val="8"/>
            <color indexed="81"/>
            <rFont val="Tahoma"/>
            <family val="2"/>
          </rPr>
          <t xml:space="preserve">
teot = t_hs_trail + avg treot.</t>
        </r>
      </text>
    </comment>
    <comment ref="H24" authorId="0" shapeId="0" xr:uid="{00000000-0006-0000-0600-000014000000}">
      <text>
        <r>
          <rPr>
            <b/>
            <sz val="8"/>
            <color indexed="81"/>
            <rFont val="Tahoma"/>
            <family val="2"/>
          </rPr>
          <t>Qualcomm:</t>
        </r>
        <r>
          <rPr>
            <sz val="8"/>
            <color indexed="81"/>
            <rFont val="Tahoma"/>
            <family val="2"/>
          </rPr>
          <t xml:space="preserve">
teot = t_clk_trail + avg 
treot.</t>
        </r>
      </text>
    </comment>
    <comment ref="H25" authorId="0" shapeId="0" xr:uid="{00000000-0006-0000-0600-000015000000}">
      <text>
        <r>
          <rPr>
            <b/>
            <sz val="8"/>
            <color indexed="81"/>
            <rFont val="Tahoma"/>
            <family val="2"/>
          </rPr>
          <t>Qualcomm:</t>
        </r>
        <r>
          <rPr>
            <sz val="8"/>
            <color indexed="81"/>
            <rFont val="Tahoma"/>
            <family val="2"/>
          </rPr>
          <t xml:space="preserve">
Expected T_clk_post
= (program value + 1) x 8UI + 72 UI + t_hs_exit
</t>
        </r>
      </text>
    </comment>
    <comment ref="H26" authorId="0" shapeId="0" xr:uid="{00000000-0006-0000-0600-000016000000}">
      <text>
        <r>
          <rPr>
            <b/>
            <sz val="8"/>
            <color indexed="81"/>
            <rFont val="Tahoma"/>
            <family val="2"/>
          </rPr>
          <t>Qualcomm:</t>
        </r>
        <r>
          <rPr>
            <sz val="8"/>
            <color indexed="81"/>
            <rFont val="Tahoma"/>
            <family val="2"/>
          </rPr>
          <t xml:space="preserve">
Expected T_clk_pre
= (program value + 1) x 8UI – t_hs_rqst – t_clk_prepare – t_clk_zero
</t>
        </r>
      </text>
    </comment>
    <comment ref="G27" authorId="0" shapeId="0" xr:uid="{00000000-0006-0000-0600-000017000000}">
      <text>
        <r>
          <rPr>
            <b/>
            <sz val="8"/>
            <color indexed="81"/>
            <rFont val="Tahoma"/>
            <family val="2"/>
          </rPr>
          <t>Qualcomm:</t>
        </r>
        <r>
          <rPr>
            <sz val="8"/>
            <color indexed="81"/>
            <rFont val="Tahoma"/>
            <family val="2"/>
          </rPr>
          <t xml:space="preserve">
8UI control
program this to an integer close to bitclk / escclk </t>
        </r>
      </text>
    </comment>
    <comment ref="H27" authorId="0" shapeId="0" xr:uid="{00000000-0006-0000-0600-000018000000}">
      <text>
        <r>
          <rPr>
            <b/>
            <sz val="8"/>
            <color indexed="81"/>
            <rFont val="Tahoma"/>
            <family val="2"/>
          </rPr>
          <t>Qualcomm:</t>
        </r>
        <r>
          <rPr>
            <sz val="8"/>
            <color indexed="81"/>
            <rFont val="Tahoma"/>
            <family val="2"/>
          </rPr>
          <t xml:space="preserve">
If DSIPHY_HSTX_HALFBYTECLK_EN = 0, t_hs_rqst = (DSIPHY_T_HS_RQST + 1) * 8;
If DSIPHY_HSTX_HALFBYTECLK_EN = 1, t_hs_rqst = (DSIPHY_T_HS_RQST + 0.5) * 8;</t>
        </r>
      </text>
    </comment>
    <comment ref="D30" authorId="0" shapeId="0" xr:uid="{00000000-0006-0000-0600-000019000000}">
      <text>
        <r>
          <rPr>
            <b/>
            <sz val="8"/>
            <color indexed="81"/>
            <rFont val="Tahoma"/>
            <family val="2"/>
          </rPr>
          <t>Qualcomm:</t>
        </r>
        <r>
          <rPr>
            <sz val="8"/>
            <color indexed="81"/>
            <rFont val="Tahoma"/>
            <family val="2"/>
          </rPr>
          <t xml:space="preserve">
calculated w.r.t. MIPI requirement between B9:C22 and the max programmable range</t>
        </r>
      </text>
    </comment>
    <comment ref="G30" authorId="0" shapeId="0" xr:uid="{00000000-0006-0000-0600-00001A000000}">
      <text>
        <r>
          <rPr>
            <b/>
            <sz val="8"/>
            <color indexed="81"/>
            <rFont val="Tahoma"/>
            <family val="2"/>
          </rPr>
          <t>Qualcomm:</t>
        </r>
        <r>
          <rPr>
            <sz val="8"/>
            <color indexed="81"/>
            <rFont val="Tahoma"/>
            <family val="2"/>
          </rPr>
          <t xml:space="preserve">
mid value (F9:F22) is recommended, but user may program any value between  min and max</t>
        </r>
      </text>
    </comment>
    <comment ref="H30" authorId="0" shapeId="0" xr:uid="{00000000-0006-0000-0600-00001B000000}">
      <text>
        <r>
          <rPr>
            <b/>
            <sz val="8"/>
            <color indexed="81"/>
            <rFont val="Tahoma"/>
            <family val="2"/>
          </rPr>
          <t>Qualcomm:</t>
        </r>
        <r>
          <rPr>
            <sz val="8"/>
            <color indexed="81"/>
            <rFont val="Tahoma"/>
            <family val="2"/>
          </rPr>
          <t xml:space="preserve">
actual period at the DSI link</t>
        </r>
      </text>
    </comment>
    <comment ref="C33" authorId="2" shapeId="0" xr:uid="{00000000-0006-0000-0600-00001C000000}">
      <text>
        <r>
          <rPr>
            <b/>
            <sz val="9"/>
            <color indexed="81"/>
            <rFont val="Tahoma"/>
            <family val="2"/>
          </rPr>
          <t>Ng, Kit:</t>
        </r>
        <r>
          <rPr>
            <sz val="9"/>
            <color indexed="81"/>
            <rFont val="Tahoma"/>
            <family val="2"/>
          </rPr>
          <t xml:space="preserve">
max requirement from mipi is 10us, but the duration should not exceed 1 hsync period in video mode operation</t>
        </r>
      </text>
    </comment>
    <comment ref="B54" authorId="2" shapeId="0" xr:uid="{00000000-0006-0000-0600-00001D000000}">
      <text>
        <r>
          <rPr>
            <b/>
            <sz val="9"/>
            <color indexed="81"/>
            <rFont val="Tahoma"/>
            <family val="2"/>
          </rPr>
          <t>Ng, Kit:</t>
        </r>
        <r>
          <rPr>
            <sz val="9"/>
            <color indexed="81"/>
            <rFont val="Tahoma"/>
            <family val="2"/>
          </rPr>
          <t xml:space="preserve">
if hsync period is shorter than 5us, keep clock lane in HS mode when transitioning from hsync packet transfer to deskew calibration and from deskew calibration to the next hsync packet transfer</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Qualcomm</author>
    <author>Ng, Kit</author>
    <author>Qualcomm User</author>
  </authors>
  <commentList>
    <comment ref="D8" authorId="0" shapeId="0" xr:uid="{DD9E0411-4BA2-4192-83A8-D352C0559483}">
      <text>
        <r>
          <rPr>
            <b/>
            <sz val="8"/>
            <color indexed="81"/>
            <rFont val="Tahoma"/>
            <family val="2"/>
          </rPr>
          <t>Qualcomm:</t>
        </r>
        <r>
          <rPr>
            <sz val="8"/>
            <color indexed="81"/>
            <rFont val="Tahoma"/>
            <family val="2"/>
          </rPr>
          <t xml:space="preserve">
calculated w.r.t. MIPI requirement between B9:C17
 and the max programmable range</t>
        </r>
      </text>
    </comment>
    <comment ref="G8" authorId="0" shapeId="0" xr:uid="{544BF805-3522-40FB-B794-A150492D905C}">
      <text>
        <r>
          <rPr>
            <b/>
            <sz val="8"/>
            <color indexed="81"/>
            <rFont val="Tahoma"/>
            <family val="2"/>
          </rPr>
          <t>Qualcomm:</t>
        </r>
        <r>
          <rPr>
            <sz val="8"/>
            <color indexed="81"/>
            <rFont val="Tahoma"/>
            <family val="2"/>
          </rPr>
          <t xml:space="preserve">
mid value (F9:F22) is recommended, but user may program any value between  min and max</t>
        </r>
      </text>
    </comment>
    <comment ref="H8" authorId="0" shapeId="0" xr:uid="{81671790-6A8A-4B78-98A5-EF9F45933A58}">
      <text>
        <r>
          <rPr>
            <b/>
            <sz val="8"/>
            <color indexed="81"/>
            <rFont val="Tahoma"/>
            <family val="2"/>
          </rPr>
          <t>Qualcomm:</t>
        </r>
        <r>
          <rPr>
            <sz val="8"/>
            <color indexed="81"/>
            <rFont val="Tahoma"/>
            <family val="2"/>
          </rPr>
          <t xml:space="preserve">
Theoretical
 period at the DSI link</t>
        </r>
      </text>
    </comment>
    <comment ref="G10" authorId="0" shapeId="0" xr:uid="{71559934-5B55-4D5D-8F96-32B30BA7666E}">
      <text>
        <r>
          <rPr>
            <b/>
            <sz val="8"/>
            <color indexed="81"/>
            <rFont val="Tahoma"/>
            <family val="2"/>
          </rPr>
          <t>Qualcomm:</t>
        </r>
        <r>
          <rPr>
            <sz val="8"/>
            <color indexed="81"/>
            <rFont val="Tahoma"/>
            <family val="2"/>
          </rPr>
          <t xml:space="preserve">
7UI Control using DSIPHY_T_HS_PREPARE</t>
        </r>
      </text>
    </comment>
    <comment ref="H10" authorId="0" shapeId="0" xr:uid="{80A9BC0C-7F2A-419D-9396-7ED6BA1D3BEB}">
      <text>
        <r>
          <rPr>
            <b/>
            <sz val="8"/>
            <color indexed="81"/>
            <rFont val="Tahoma"/>
            <family val="2"/>
          </rPr>
          <t>Qualcomm:</t>
        </r>
        <r>
          <rPr>
            <sz val="8"/>
            <color indexed="81"/>
            <rFont val="Tahoma"/>
            <family val="2"/>
          </rPr>
          <t xml:space="preserve">
T3_PREPARE = DSIPHY_T_HS_PREPARE * 7 + DSIPHY_HSTX_HALFBYTECLK_EN * 3 UI</t>
        </r>
      </text>
    </comment>
    <comment ref="G11" authorId="0" shapeId="0" xr:uid="{8E8A2033-BA46-4136-8BA8-1F4B5D526A14}">
      <text>
        <r>
          <rPr>
            <b/>
            <sz val="8"/>
            <color indexed="81"/>
            <rFont val="Tahoma"/>
            <family val="2"/>
          </rPr>
          <t>Qualcomm:
3 UI control</t>
        </r>
        <r>
          <rPr>
            <sz val="8"/>
            <color indexed="81"/>
            <rFont val="Tahoma"/>
            <family val="2"/>
          </rPr>
          <t xml:space="preserve">
</t>
        </r>
      </text>
    </comment>
    <comment ref="B12" authorId="1" shapeId="0" xr:uid="{B6F49D25-1FC0-4EE6-AB89-78BEC628EFE4}">
      <text>
        <r>
          <rPr>
            <b/>
            <sz val="9"/>
            <color indexed="81"/>
            <rFont val="Tahoma"/>
            <family val="2"/>
          </rPr>
          <t>Ng, Kit:</t>
        </r>
        <r>
          <rPr>
            <sz val="9"/>
            <color indexed="81"/>
            <rFont val="Tahoma"/>
            <family val="2"/>
          </rPr>
          <t xml:space="preserve">
t3-prebegin should end after t3-settle (or t3-settle should end before end of t3-prebegin) and t3-settle&gt; t3-prepare
MIPI CPHY v1.1 consideration
1. min t3-prebegin &gt; max t3-settle - min t3-prepare - t3-preend
2. t3-preend = 7UI
3. max t3-settle = 300ns 
4. max t3-prebegin &lt; 448 UI
MIPI CPHY v1.2 consideration
1. typical min t3-settle = t3-prepare + 6UI 
2. assume panel is compliant to v1.2 and support #1
3. assume t3-settle &lt; 300ns </t>
        </r>
      </text>
    </comment>
    <comment ref="H12" authorId="2" shapeId="0" xr:uid="{3A81CF8E-5E39-4B1B-8031-B3A5E8341DBE}">
      <text>
        <r>
          <rPr>
            <b/>
            <sz val="9"/>
            <color indexed="81"/>
            <rFont val="Tahoma"/>
            <family val="2"/>
          </rPr>
          <t>Qualcomm User:</t>
        </r>
        <r>
          <rPr>
            <sz val="9"/>
            <color indexed="81"/>
            <rFont val="Tahoma"/>
            <family val="2"/>
          </rPr>
          <t xml:space="preserve">
(DSIPHY_T_HS_ZERO + 1) * 7</t>
        </r>
      </text>
    </comment>
    <comment ref="C13" authorId="0" shapeId="0" xr:uid="{B034C532-CF80-4234-AB17-659BABAE73A4}">
      <text>
        <r>
          <rPr>
            <b/>
            <sz val="8"/>
            <color indexed="81"/>
            <rFont val="Tahoma"/>
            <family val="2"/>
          </rPr>
          <t>Qualcomm:</t>
        </r>
        <r>
          <rPr>
            <sz val="8"/>
            <color indexed="81"/>
            <rFont val="Tahoma"/>
            <family val="2"/>
          </rPr>
          <t xml:space="preserve">
t_clk_trail must be smaller than max t_eot - treot. Treot = 20ns max</t>
        </r>
      </text>
    </comment>
    <comment ref="H13" authorId="2" shapeId="0" xr:uid="{3928EB3B-2586-4ED9-A441-56CBD5461F16}">
      <text>
        <r>
          <rPr>
            <b/>
            <sz val="9"/>
            <color indexed="81"/>
            <rFont val="Tahoma"/>
            <family val="2"/>
          </rPr>
          <t>Qualcomm User:</t>
        </r>
        <r>
          <rPr>
            <sz val="9"/>
            <color indexed="81"/>
            <rFont val="Tahoma"/>
            <family val="2"/>
          </rPr>
          <t xml:space="preserve">
t3_post = 
(DSIPHY_T_HS_TRAIL+1) * 7</t>
        </r>
      </text>
    </comment>
    <comment ref="H14" authorId="0" shapeId="0" xr:uid="{E582D85C-B508-4751-BC7A-15D73388885B}">
      <text>
        <r>
          <rPr>
            <b/>
            <sz val="8"/>
            <color indexed="81"/>
            <rFont val="Tahoma"/>
            <family val="2"/>
          </rPr>
          <t>Qualcomm:</t>
        </r>
        <r>
          <rPr>
            <sz val="8"/>
            <color indexed="81"/>
            <rFont val="Tahoma"/>
            <family val="2"/>
          </rPr>
          <t xml:space="preserve">
t_hs_rqst = (DSIPHY_T_HS_RQST + 1) * 7 -  DSIPHY_HSTX_HALFBYTECLK_EN * 4</t>
        </r>
      </text>
    </comment>
    <comment ref="H19" authorId="2" shapeId="0" xr:uid="{C1A76804-816F-42AD-86FD-395F97E07A1C}">
      <text>
        <r>
          <rPr>
            <b/>
            <sz val="9"/>
            <color indexed="81"/>
            <rFont val="Tahoma"/>
            <family val="2"/>
          </rPr>
          <t>Qualcomm User:</t>
        </r>
        <r>
          <rPr>
            <sz val="9"/>
            <color indexed="81"/>
            <rFont val="Tahoma"/>
            <family val="2"/>
          </rPr>
          <t xml:space="preserve">
tLPX + t3-prepare + t3-prebegin + t3_preend + t3-post + tHS-exit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Qualcomm</author>
    <author>Qualcomm User</author>
    <author>Ng, Kit</author>
  </authors>
  <commentList>
    <comment ref="D8" authorId="0" shapeId="0" xr:uid="{00000000-0006-0000-0700-000001000000}">
      <text>
        <r>
          <rPr>
            <b/>
            <sz val="8"/>
            <color indexed="81"/>
            <rFont val="Tahoma"/>
            <family val="2"/>
          </rPr>
          <t>Qualcomm:</t>
        </r>
        <r>
          <rPr>
            <sz val="8"/>
            <color indexed="81"/>
            <rFont val="Tahoma"/>
            <family val="2"/>
          </rPr>
          <t xml:space="preserve">
calculated w.r.t. MIPI requirement between B9:C22 and the max programmable range</t>
        </r>
      </text>
    </comment>
    <comment ref="G8" authorId="0" shapeId="0" xr:uid="{00000000-0006-0000-0700-000002000000}">
      <text>
        <r>
          <rPr>
            <b/>
            <sz val="8"/>
            <color indexed="81"/>
            <rFont val="Tahoma"/>
            <family val="2"/>
          </rPr>
          <t>Qualcomm:</t>
        </r>
        <r>
          <rPr>
            <sz val="8"/>
            <color indexed="81"/>
            <rFont val="Tahoma"/>
            <family val="2"/>
          </rPr>
          <t xml:space="preserve">
mid value (F9:F22) is recommended, but user may program any value between  min and max</t>
        </r>
      </text>
    </comment>
    <comment ref="H8" authorId="0" shapeId="0" xr:uid="{00000000-0006-0000-0700-000003000000}">
      <text>
        <r>
          <rPr>
            <b/>
            <sz val="8"/>
            <color indexed="81"/>
            <rFont val="Tahoma"/>
            <family val="2"/>
          </rPr>
          <t>Qualcomm:</t>
        </r>
        <r>
          <rPr>
            <sz val="8"/>
            <color indexed="81"/>
            <rFont val="Tahoma"/>
            <family val="2"/>
          </rPr>
          <t xml:space="preserve">
actual period at the DSI link</t>
        </r>
      </text>
    </comment>
    <comment ref="G10" authorId="0" shapeId="0" xr:uid="{00000000-0006-0000-0700-000004000000}">
      <text>
        <r>
          <rPr>
            <b/>
            <sz val="8"/>
            <color indexed="81"/>
            <rFont val="Tahoma"/>
            <family val="2"/>
          </rPr>
          <t>Qualcomm:</t>
        </r>
        <r>
          <rPr>
            <sz val="8"/>
            <color indexed="81"/>
            <rFont val="Tahoma"/>
            <family val="2"/>
          </rPr>
          <t xml:space="preserve">
8UI Control using DSIPHY_T_HS_PREPARE</t>
        </r>
      </text>
    </comment>
    <comment ref="H10" authorId="0" shapeId="0" xr:uid="{00000000-0006-0000-0700-000005000000}">
      <text>
        <r>
          <rPr>
            <b/>
            <sz val="8"/>
            <color indexed="81"/>
            <rFont val="Tahoma"/>
            <family val="2"/>
          </rPr>
          <t>Qualcomm:</t>
        </r>
        <r>
          <rPr>
            <sz val="8"/>
            <color indexed="81"/>
            <rFont val="Tahoma"/>
            <family val="2"/>
          </rPr>
          <t xml:space="preserve">
T_CLK_PREPARE = DSIPHY_T_HS_PREPARE * 8 + DSIPHY_HSTX_HALFBYTECLK_EN * 4
</t>
        </r>
      </text>
    </comment>
    <comment ref="G11" authorId="0" shapeId="0" xr:uid="{00000000-0006-0000-0700-000006000000}">
      <text>
        <r>
          <rPr>
            <b/>
            <sz val="8"/>
            <color indexed="81"/>
            <rFont val="Tahoma"/>
            <family val="2"/>
          </rPr>
          <t>Qualcomm:
2UI control using DSIPHY_HSTX_PREPARE_DLY</t>
        </r>
        <r>
          <rPr>
            <sz val="8"/>
            <color indexed="81"/>
            <rFont val="Tahoma"/>
            <family val="2"/>
          </rPr>
          <t xml:space="preserve">
</t>
        </r>
      </text>
    </comment>
    <comment ref="H12" authorId="1" shapeId="0" xr:uid="{00000000-0006-0000-0700-000007000000}">
      <text>
        <r>
          <rPr>
            <b/>
            <sz val="9"/>
            <color indexed="81"/>
            <rFont val="Tahoma"/>
            <family val="2"/>
          </rPr>
          <t>Qualcomm User:</t>
        </r>
        <r>
          <rPr>
            <sz val="9"/>
            <color indexed="81"/>
            <rFont val="Tahoma"/>
            <family val="2"/>
          </rPr>
          <t xml:space="preserve">
(DSIPHY_T_HS_ZERO + 1) * 8</t>
        </r>
      </text>
    </comment>
    <comment ref="I12" authorId="1" shapeId="0" xr:uid="{00000000-0006-0000-0700-000008000000}">
      <text>
        <r>
          <rPr>
            <b/>
            <sz val="8"/>
            <color indexed="81"/>
            <rFont val="Tahoma"/>
            <family val="2"/>
          </rPr>
          <t>Qualcomm User:</t>
        </r>
        <r>
          <rPr>
            <sz val="8"/>
            <color indexed="81"/>
            <rFont val="Tahoma"/>
            <family val="2"/>
          </rPr>
          <t xml:space="preserve">
Tclk-prepare + Tclk-zero</t>
        </r>
      </text>
    </comment>
    <comment ref="C13" authorId="0" shapeId="0" xr:uid="{00000000-0006-0000-0700-000009000000}">
      <text>
        <r>
          <rPr>
            <b/>
            <sz val="8"/>
            <color indexed="81"/>
            <rFont val="Tahoma"/>
            <family val="2"/>
          </rPr>
          <t>Qualcomm:</t>
        </r>
        <r>
          <rPr>
            <sz val="8"/>
            <color indexed="81"/>
            <rFont val="Tahoma"/>
            <family val="2"/>
          </rPr>
          <t xml:space="preserve">
t_clk_trail must be smaller than max t_eot - treot. Treot = 20ns max</t>
        </r>
      </text>
    </comment>
    <comment ref="H13" authorId="1" shapeId="0" xr:uid="{00000000-0006-0000-0700-00000A000000}">
      <text>
        <r>
          <rPr>
            <b/>
            <sz val="9"/>
            <color indexed="81"/>
            <rFont val="Tahoma"/>
            <family val="2"/>
          </rPr>
          <t>Qualcomm User:</t>
        </r>
        <r>
          <rPr>
            <sz val="9"/>
            <color indexed="81"/>
            <rFont val="Tahoma"/>
            <family val="2"/>
          </rPr>
          <t xml:space="preserve">
t_clk_trail = 
(
DSIPHY_T_CLK_TRAIL+1)* 8</t>
        </r>
      </text>
    </comment>
    <comment ref="H14" authorId="1" shapeId="0" xr:uid="{00000000-0006-0000-0700-00000B000000}">
      <text>
        <r>
          <rPr>
            <b/>
            <sz val="9"/>
            <color indexed="81"/>
            <rFont val="Tahoma"/>
            <family val="2"/>
          </rPr>
          <t>Qualcomm User:</t>
        </r>
        <r>
          <rPr>
            <sz val="9"/>
            <color indexed="81"/>
            <rFont val="Tahoma"/>
            <family val="2"/>
          </rPr>
          <t xml:space="preserve">
T_CLK_PREPARE = DSIPHY_T_HS_PREPARE * 8 + DSIPHY_HSTX_HALFBYTECLK_EN * 4
</t>
        </r>
      </text>
    </comment>
    <comment ref="H15" authorId="1" shapeId="0" xr:uid="{00000000-0006-0000-0700-00000C000000}">
      <text>
        <r>
          <rPr>
            <b/>
            <sz val="9"/>
            <color indexed="81"/>
            <rFont val="Tahoma"/>
            <family val="2"/>
          </rPr>
          <t>Qualcomm User:</t>
        </r>
        <r>
          <rPr>
            <sz val="9"/>
            <color indexed="81"/>
            <rFont val="Tahoma"/>
            <family val="2"/>
          </rPr>
          <t xml:space="preserve">
UI Calculation: (DSIPHY_T_HS_ZERO + 1) * 8</t>
        </r>
      </text>
    </comment>
    <comment ref="I15" authorId="1" shapeId="0" xr:uid="{00000000-0006-0000-0700-00000D000000}">
      <text>
        <r>
          <rPr>
            <b/>
            <sz val="8"/>
            <color indexed="81"/>
            <rFont val="Tahoma"/>
            <family val="2"/>
          </rPr>
          <t>Qualcomm User:</t>
        </r>
        <r>
          <rPr>
            <sz val="8"/>
            <color indexed="81"/>
            <rFont val="Tahoma"/>
            <family val="2"/>
          </rPr>
          <t xml:space="preserve">
Ths-prepare + Ths-zero</t>
        </r>
      </text>
    </comment>
    <comment ref="C16" authorId="0" shapeId="0" xr:uid="{00000000-0006-0000-0700-00000E000000}">
      <text>
        <r>
          <rPr>
            <b/>
            <sz val="8"/>
            <color indexed="81"/>
            <rFont val="Tahoma"/>
            <family val="2"/>
          </rPr>
          <t>Qualcomm:</t>
        </r>
        <r>
          <rPr>
            <sz val="8"/>
            <color indexed="81"/>
            <rFont val="Tahoma"/>
            <family val="2"/>
          </rPr>
          <t xml:space="preserve">
t_hs_trail must be smaller than max t_eot - treot. Treot = 20ns max</t>
        </r>
      </text>
    </comment>
    <comment ref="H16" authorId="1" shapeId="0" xr:uid="{00000000-0006-0000-0700-00000F000000}">
      <text>
        <r>
          <rPr>
            <b/>
            <sz val="9"/>
            <color indexed="81"/>
            <rFont val="Tahoma"/>
            <family val="2"/>
          </rPr>
          <t>Qualcomm User:</t>
        </r>
        <r>
          <rPr>
            <sz val="9"/>
            <color indexed="81"/>
            <rFont val="Tahoma"/>
            <family val="2"/>
          </rPr>
          <t xml:space="preserve">
t_hs_trail = (DSIPHY_T_HS_TRAIL+1) * 8
</t>
        </r>
      </text>
    </comment>
    <comment ref="G17" authorId="0" shapeId="0" xr:uid="{00000000-0006-0000-0700-000010000000}">
      <text>
        <r>
          <rPr>
            <b/>
            <sz val="8"/>
            <color indexed="81"/>
            <rFont val="Tahoma"/>
            <family val="2"/>
          </rPr>
          <t>Qualcomm:</t>
        </r>
        <r>
          <rPr>
            <sz val="8"/>
            <color indexed="81"/>
            <rFont val="Tahoma"/>
            <family val="2"/>
          </rPr>
          <t xml:space="preserve">
8UI control
program this to an integer close to bitclk / escclk </t>
        </r>
      </text>
    </comment>
    <comment ref="H17" authorId="0" shapeId="0" xr:uid="{00000000-0006-0000-0700-000011000000}">
      <text>
        <r>
          <rPr>
            <b/>
            <sz val="8"/>
            <color indexed="81"/>
            <rFont val="Tahoma"/>
            <family val="2"/>
          </rPr>
          <t>Qualcomm:</t>
        </r>
        <r>
          <rPr>
            <sz val="8"/>
            <color indexed="81"/>
            <rFont val="Tahoma"/>
            <family val="2"/>
          </rPr>
          <t xml:space="preserve">
(DSIPHY_T_HS_RQST + 1) * 8 - DSIPHY_HSTX_HALFBYTECLK_EN * 4</t>
        </r>
      </text>
    </comment>
    <comment ref="G18" authorId="0" shapeId="0" xr:uid="{00000000-0006-0000-0700-000012000000}">
      <text>
        <r>
          <rPr>
            <b/>
            <sz val="8"/>
            <color indexed="81"/>
            <rFont val="Tahoma"/>
            <family val="2"/>
          </rPr>
          <t>Qualcomm:</t>
        </r>
        <r>
          <rPr>
            <sz val="8"/>
            <color indexed="81"/>
            <rFont val="Tahoma"/>
            <family val="2"/>
          </rPr>
          <t xml:space="preserve">
4UI control
program this to an integer close to bitclk / escclk </t>
        </r>
      </text>
    </comment>
    <comment ref="H23" authorId="0" shapeId="0" xr:uid="{00000000-0006-0000-0700-000013000000}">
      <text>
        <r>
          <rPr>
            <b/>
            <sz val="8"/>
            <color indexed="81"/>
            <rFont val="Tahoma"/>
            <family val="2"/>
          </rPr>
          <t>Qualcomm:</t>
        </r>
        <r>
          <rPr>
            <sz val="8"/>
            <color indexed="81"/>
            <rFont val="Tahoma"/>
            <family val="2"/>
          </rPr>
          <t xml:space="preserve">
teot = t_hs_trail + avg treot.</t>
        </r>
      </text>
    </comment>
    <comment ref="H24" authorId="0" shapeId="0" xr:uid="{00000000-0006-0000-0700-000014000000}">
      <text>
        <r>
          <rPr>
            <b/>
            <sz val="8"/>
            <color indexed="81"/>
            <rFont val="Tahoma"/>
            <family val="2"/>
          </rPr>
          <t>Qualcomm:</t>
        </r>
        <r>
          <rPr>
            <sz val="8"/>
            <color indexed="81"/>
            <rFont val="Tahoma"/>
            <family val="2"/>
          </rPr>
          <t xml:space="preserve">
teot = t_clk_trail + avg 
treot.</t>
        </r>
      </text>
    </comment>
    <comment ref="H25" authorId="0" shapeId="0" xr:uid="{00000000-0006-0000-0700-000015000000}">
      <text>
        <r>
          <rPr>
            <b/>
            <sz val="8"/>
            <color indexed="81"/>
            <rFont val="Tahoma"/>
            <family val="2"/>
          </rPr>
          <t>Qualcomm:</t>
        </r>
        <r>
          <rPr>
            <sz val="8"/>
            <color indexed="81"/>
            <rFont val="Tahoma"/>
            <family val="2"/>
          </rPr>
          <t xml:space="preserve"> 
Expected T_clk_post
= (program value of t_clk_post + 1) * 16UI 
- (program value of t_hs_trail + 1) * 8 UI
-2.5UI 
</t>
        </r>
      </text>
    </comment>
    <comment ref="H26" authorId="0" shapeId="0" xr:uid="{00000000-0006-0000-0700-000016000000}">
      <text>
        <r>
          <rPr>
            <b/>
            <sz val="8"/>
            <color indexed="81"/>
            <rFont val="Tahoma"/>
            <family val="2"/>
          </rPr>
          <t xml:space="preserve">Qualcomm:
 </t>
        </r>
        <r>
          <rPr>
            <sz val="8"/>
            <color indexed="81"/>
            <rFont val="Tahoma"/>
            <family val="2"/>
          </rPr>
          <t xml:space="preserve">Expected T_clk_pre
= (program value of t_clk_pre + 1) x 16UI 
– (program value of t_clk_rqst +1) * 8UI 
– (program value of t_clk_prepare) * 8UI 
– (program value of t_clk_zero + 1) * 8UI
+ 2.5UI
</t>
        </r>
      </text>
    </comment>
    <comment ref="G27" authorId="0" shapeId="0" xr:uid="{00000000-0006-0000-0700-000017000000}">
      <text>
        <r>
          <rPr>
            <b/>
            <sz val="8"/>
            <color indexed="81"/>
            <rFont val="Tahoma"/>
            <family val="2"/>
          </rPr>
          <t>Qualcomm:</t>
        </r>
        <r>
          <rPr>
            <sz val="8"/>
            <color indexed="81"/>
            <rFont val="Tahoma"/>
            <family val="2"/>
          </rPr>
          <t xml:space="preserve">
8UI control
program this to an integer close to bitclk / escclk </t>
        </r>
      </text>
    </comment>
    <comment ref="H27" authorId="0" shapeId="0" xr:uid="{00000000-0006-0000-0700-000018000000}">
      <text>
        <r>
          <rPr>
            <b/>
            <sz val="8"/>
            <color indexed="81"/>
            <rFont val="Tahoma"/>
            <family val="2"/>
          </rPr>
          <t>Qualcomm:</t>
        </r>
        <r>
          <rPr>
            <sz val="8"/>
            <color indexed="81"/>
            <rFont val="Tahoma"/>
            <family val="2"/>
          </rPr>
          <t xml:space="preserve">
If DSIPHY_HSTX_HALFBYTECLK_EN = 0, t_hs_rqst = (DSIPHY_T_HS_RQST + 1) * 8;
If DSIPHY_HSTX_HALFBYTECLK_EN = 1, t_hs_rqst = (DSIPHY_T_HS_RQST + 0.5) * 8;</t>
        </r>
      </text>
    </comment>
    <comment ref="D30" authorId="0" shapeId="0" xr:uid="{00000000-0006-0000-0700-000019000000}">
      <text>
        <r>
          <rPr>
            <b/>
            <sz val="8"/>
            <color indexed="81"/>
            <rFont val="Tahoma"/>
            <family val="2"/>
          </rPr>
          <t>Qualcomm:</t>
        </r>
        <r>
          <rPr>
            <sz val="8"/>
            <color indexed="81"/>
            <rFont val="Tahoma"/>
            <family val="2"/>
          </rPr>
          <t xml:space="preserve">
calculated w.r.t. MIPI requirement between B9:C22 and the max programmable range</t>
        </r>
      </text>
    </comment>
    <comment ref="G30" authorId="0" shapeId="0" xr:uid="{00000000-0006-0000-0700-00001A000000}">
      <text>
        <r>
          <rPr>
            <b/>
            <sz val="8"/>
            <color indexed="81"/>
            <rFont val="Tahoma"/>
            <family val="2"/>
          </rPr>
          <t>Qualcomm:</t>
        </r>
        <r>
          <rPr>
            <sz val="8"/>
            <color indexed="81"/>
            <rFont val="Tahoma"/>
            <family val="2"/>
          </rPr>
          <t xml:space="preserve">
mid value (F9:F22) is recommended, but user may program any value between  min and max</t>
        </r>
      </text>
    </comment>
    <comment ref="H30" authorId="0" shapeId="0" xr:uid="{00000000-0006-0000-0700-00001B000000}">
      <text>
        <r>
          <rPr>
            <b/>
            <sz val="8"/>
            <color indexed="81"/>
            <rFont val="Tahoma"/>
            <family val="2"/>
          </rPr>
          <t>Qualcomm:</t>
        </r>
        <r>
          <rPr>
            <sz val="8"/>
            <color indexed="81"/>
            <rFont val="Tahoma"/>
            <family val="2"/>
          </rPr>
          <t xml:space="preserve">
actual period at the DSI link</t>
        </r>
      </text>
    </comment>
    <comment ref="C33" authorId="2" shapeId="0" xr:uid="{00000000-0006-0000-0700-00001C000000}">
      <text>
        <r>
          <rPr>
            <b/>
            <sz val="9"/>
            <color indexed="81"/>
            <rFont val="Tahoma"/>
            <family val="2"/>
          </rPr>
          <t>Ng, Kit:</t>
        </r>
        <r>
          <rPr>
            <sz val="9"/>
            <color indexed="81"/>
            <rFont val="Tahoma"/>
            <family val="2"/>
          </rPr>
          <t xml:space="preserve">
max requirement from mipi is 10us, but the duration should not exceed 1 hsync period in video mode operation</t>
        </r>
      </text>
    </comment>
    <comment ref="H34" authorId="0" shapeId="0" xr:uid="{00000000-0006-0000-0700-00001D000000}">
      <text>
        <r>
          <rPr>
            <b/>
            <sz val="8"/>
            <color indexed="81"/>
            <rFont val="Tahoma"/>
            <family val="2"/>
          </rPr>
          <t xml:space="preserve">Qualcomm:
</t>
        </r>
        <r>
          <rPr>
            <sz val="8"/>
            <color indexed="81"/>
            <rFont val="Tahoma"/>
            <family val="2"/>
          </rPr>
          <t xml:space="preserve">when DSIPHY_CMN_CTRL3.DSIPHY_RQST_SEL = 0, 
Expected T_clk_post
= (program value + 1) x 16UI - t_hs_trail
</t>
        </r>
      </text>
    </comment>
    <comment ref="B59" authorId="2" shapeId="0" xr:uid="{00000000-0006-0000-0700-00001E000000}">
      <text>
        <r>
          <rPr>
            <b/>
            <sz val="9"/>
            <color indexed="81"/>
            <rFont val="Tahoma"/>
            <family val="2"/>
          </rPr>
          <t>Ng, Kit:</t>
        </r>
        <r>
          <rPr>
            <sz val="9"/>
            <color indexed="81"/>
            <rFont val="Tahoma"/>
            <family val="2"/>
          </rPr>
          <t xml:space="preserve">
if hsync period is shorter than 5us, keep clock lane in HS mode when transitioning from hsync packet transfer to deskew calibration and from deskew calibration to the next hsync packet transfer</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Qualcomm</author>
    <author>Ng, Kit</author>
    <author>Qualcomm User</author>
  </authors>
  <commentList>
    <comment ref="D8" authorId="0" shapeId="0" xr:uid="{FC3E8EF4-BC8C-4EDA-9B12-ECF771FDE095}">
      <text>
        <r>
          <rPr>
            <b/>
            <sz val="8"/>
            <color indexed="81"/>
            <rFont val="Tahoma"/>
            <family val="2"/>
          </rPr>
          <t>Qualcomm:</t>
        </r>
        <r>
          <rPr>
            <sz val="8"/>
            <color indexed="81"/>
            <rFont val="Tahoma"/>
            <family val="2"/>
          </rPr>
          <t xml:space="preserve">
calculated w.r.t. MIPI requirement between B9:C17
 and the max programmable range</t>
        </r>
      </text>
    </comment>
    <comment ref="G8" authorId="0" shapeId="0" xr:uid="{ED600AF5-67DD-4D19-8918-6E91BDDE8D6D}">
      <text>
        <r>
          <rPr>
            <b/>
            <sz val="8"/>
            <color indexed="81"/>
            <rFont val="Tahoma"/>
            <family val="2"/>
          </rPr>
          <t>Qualcomm:</t>
        </r>
        <r>
          <rPr>
            <sz val="8"/>
            <color indexed="81"/>
            <rFont val="Tahoma"/>
            <family val="2"/>
          </rPr>
          <t xml:space="preserve">
mid value (F9:F22) is recommended, but user may program any value between  min and max</t>
        </r>
      </text>
    </comment>
    <comment ref="H8" authorId="0" shapeId="0" xr:uid="{A399FF36-0C9A-44C2-AB51-6F8EB9B101EB}">
      <text>
        <r>
          <rPr>
            <b/>
            <sz val="8"/>
            <color indexed="81"/>
            <rFont val="Tahoma"/>
            <family val="2"/>
          </rPr>
          <t>Qualcomm:</t>
        </r>
        <r>
          <rPr>
            <sz val="8"/>
            <color indexed="81"/>
            <rFont val="Tahoma"/>
            <family val="2"/>
          </rPr>
          <t xml:space="preserve">
Theoretical
 period at the DSI link</t>
        </r>
      </text>
    </comment>
    <comment ref="G10" authorId="0" shapeId="0" xr:uid="{2D4A14F5-1546-4BAC-9901-3E0F45A67D99}">
      <text>
        <r>
          <rPr>
            <b/>
            <sz val="8"/>
            <color indexed="81"/>
            <rFont val="Tahoma"/>
            <family val="2"/>
          </rPr>
          <t>Qualcomm:</t>
        </r>
        <r>
          <rPr>
            <sz val="8"/>
            <color indexed="81"/>
            <rFont val="Tahoma"/>
            <family val="2"/>
          </rPr>
          <t xml:space="preserve">
7UI Control using DSIPHY_T_HS_PREPARE</t>
        </r>
      </text>
    </comment>
    <comment ref="H10" authorId="0" shapeId="0" xr:uid="{09E6857C-39C1-40C6-A53B-5D066BD3E09A}">
      <text>
        <r>
          <rPr>
            <b/>
            <sz val="8"/>
            <color indexed="81"/>
            <rFont val="Tahoma"/>
            <family val="2"/>
          </rPr>
          <t>Qualcomm:</t>
        </r>
        <r>
          <rPr>
            <sz val="8"/>
            <color indexed="81"/>
            <rFont val="Tahoma"/>
            <family val="2"/>
          </rPr>
          <t xml:space="preserve">
T3_PREPARE = DSIPHY_T_HS_PREPARE * 7 + DSIPHY_HSTX_HALFBYTECLK_EN * 3 UI</t>
        </r>
      </text>
    </comment>
    <comment ref="G11" authorId="0" shapeId="0" xr:uid="{1A51E3A7-7DA8-4684-8A66-E8E81A49A466}">
      <text>
        <r>
          <rPr>
            <b/>
            <sz val="8"/>
            <color indexed="81"/>
            <rFont val="Tahoma"/>
            <family val="2"/>
          </rPr>
          <t>Qualcomm:
3 UI control</t>
        </r>
        <r>
          <rPr>
            <sz val="8"/>
            <color indexed="81"/>
            <rFont val="Tahoma"/>
            <family val="2"/>
          </rPr>
          <t xml:space="preserve">
</t>
        </r>
      </text>
    </comment>
    <comment ref="B12" authorId="1" shapeId="0" xr:uid="{6002B7B8-5A6D-4CF8-B2DB-FC73815C9EDF}">
      <text>
        <r>
          <rPr>
            <b/>
            <sz val="9"/>
            <color indexed="81"/>
            <rFont val="Tahoma"/>
            <family val="2"/>
          </rPr>
          <t>Ng, Kit:</t>
        </r>
        <r>
          <rPr>
            <sz val="9"/>
            <color indexed="81"/>
            <rFont val="Tahoma"/>
            <family val="2"/>
          </rPr>
          <t xml:space="preserve">
t3-prebegin should end after t3-settle (or t3-settle should end before end of t3-prebegin) and t3-settle&gt; t3-prepare
MIPI CPHY v1.1 consideration
1. min t3-prebegin &gt; max t3-settle - min t3-prepare - t3-preend
2. t3-preend = 7UI
3. max t3-settle = 300ns 
MIPI CPHY v1.2 consideration
1. typical min t3-settle = t3-prepare + 6UI 
2. assume panel is compliant to v1.2 and support #1</t>
        </r>
      </text>
    </comment>
    <comment ref="H12" authorId="2" shapeId="0" xr:uid="{3330F16A-F470-43BE-9542-ACC5BBE619D0}">
      <text>
        <r>
          <rPr>
            <b/>
            <sz val="9"/>
            <color indexed="81"/>
            <rFont val="Tahoma"/>
            <family val="2"/>
          </rPr>
          <t>Qualcomm User:</t>
        </r>
        <r>
          <rPr>
            <sz val="9"/>
            <color indexed="81"/>
            <rFont val="Tahoma"/>
            <family val="2"/>
          </rPr>
          <t xml:space="preserve">
(DSIPHY_T_HS_ZERO + 1) * 7</t>
        </r>
      </text>
    </comment>
    <comment ref="C13" authorId="0" shapeId="0" xr:uid="{33F71FE5-6188-4CE7-A9D6-DA640AD4BFC8}">
      <text>
        <r>
          <rPr>
            <b/>
            <sz val="8"/>
            <color indexed="81"/>
            <rFont val="Tahoma"/>
            <family val="2"/>
          </rPr>
          <t>Qualcomm:</t>
        </r>
        <r>
          <rPr>
            <sz val="8"/>
            <color indexed="81"/>
            <rFont val="Tahoma"/>
            <family val="2"/>
          </rPr>
          <t xml:space="preserve">
t_clk_trail must be smaller than max t_eot - treot. Treot = 20ns max</t>
        </r>
      </text>
    </comment>
    <comment ref="H13" authorId="2" shapeId="0" xr:uid="{DBEF1003-CAE9-45AC-9179-3DEDDF088897}">
      <text>
        <r>
          <rPr>
            <b/>
            <sz val="9"/>
            <color indexed="81"/>
            <rFont val="Tahoma"/>
            <family val="2"/>
          </rPr>
          <t>Qualcomm User:</t>
        </r>
        <r>
          <rPr>
            <sz val="9"/>
            <color indexed="81"/>
            <rFont val="Tahoma"/>
            <family val="2"/>
          </rPr>
          <t xml:space="preserve">
t3_post = 
(DSIPHY_T_HS_TRAIL+1) * 7</t>
        </r>
      </text>
    </comment>
    <comment ref="H14" authorId="0" shapeId="0" xr:uid="{4911300A-AA6D-45B3-B607-6A4F37782B86}">
      <text>
        <r>
          <rPr>
            <b/>
            <sz val="8"/>
            <color indexed="81"/>
            <rFont val="Tahoma"/>
            <family val="2"/>
          </rPr>
          <t>Qualcomm:</t>
        </r>
        <r>
          <rPr>
            <sz val="8"/>
            <color indexed="81"/>
            <rFont val="Tahoma"/>
            <family val="2"/>
          </rPr>
          <t xml:space="preserve">
t_hs_rqst = (DSIPHY_T_HS_RQST + 1) * 7 -  DSIPHY_HSTX_HALFBYTECLK_EN * 4</t>
        </r>
      </text>
    </comment>
    <comment ref="H19" authorId="2" shapeId="0" xr:uid="{7F14729A-A19C-43C8-9447-6E1FF594038D}">
      <text>
        <r>
          <rPr>
            <b/>
            <sz val="9"/>
            <color indexed="81"/>
            <rFont val="Tahoma"/>
            <family val="2"/>
          </rPr>
          <t>Qualcomm User:</t>
        </r>
        <r>
          <rPr>
            <sz val="9"/>
            <color indexed="81"/>
            <rFont val="Tahoma"/>
            <family val="2"/>
          </rPr>
          <t xml:space="preserve">
tLPX + t3-prepare + t3-prebegin + t3_preend + t3-post + tHS-exit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Joao Pereira</author>
  </authors>
  <commentList>
    <comment ref="A10" authorId="0" shapeId="0" xr:uid="{00000000-0006-0000-0800-000001000000}">
      <text>
        <r>
          <rPr>
            <b/>
            <sz val="9"/>
            <color indexed="81"/>
            <rFont val="Tahoma"/>
            <family val="2"/>
          </rPr>
          <t>SNPS:</t>
        </r>
        <r>
          <rPr>
            <sz val="9"/>
            <color indexed="81"/>
            <rFont val="Tahoma"/>
            <family val="2"/>
          </rPr>
          <t xml:space="preserve">
Our counters consider 35ns for Treot </t>
        </r>
      </text>
    </comment>
    <comment ref="G31" authorId="0" shapeId="0" xr:uid="{00000000-0006-0000-0800-000002000000}">
      <text>
        <r>
          <rPr>
            <b/>
            <sz val="9"/>
            <color indexed="81"/>
            <rFont val="Tahoma"/>
            <family val="2"/>
          </rPr>
          <t xml:space="preserve">SNPS: 
</t>
        </r>
        <r>
          <rPr>
            <sz val="9"/>
            <color indexed="81"/>
            <rFont val="Tahoma"/>
            <family val="2"/>
          </rPr>
          <t>Maximum possible value</t>
        </r>
      </text>
    </comment>
  </commentList>
</comments>
</file>

<file path=xl/sharedStrings.xml><?xml version="1.0" encoding="utf-8"?>
<sst xmlns="http://schemas.openxmlformats.org/spreadsheetml/2006/main" count="4344" uniqueCount="638">
  <si>
    <t xml:space="preserve">HS_START      </t>
  </si>
  <si>
    <t xml:space="preserve">HS_END        </t>
  </si>
  <si>
    <t xml:space="preserve">VS_START      </t>
  </si>
  <si>
    <t xml:space="preserve">VS_END        </t>
  </si>
  <si>
    <t xml:space="preserve">VS_VPOS_START </t>
  </si>
  <si>
    <t xml:space="preserve">VS_VPOS_END   </t>
  </si>
  <si>
    <t xml:space="preserve">VIDEO_H_TOTAL </t>
  </si>
  <si>
    <t xml:space="preserve">VIDEO_V_TOTAL </t>
  </si>
  <si>
    <t>ACTIVE_H_START</t>
  </si>
  <si>
    <t xml:space="preserve">ACTIVE_H_END  </t>
  </si>
  <si>
    <t>ACTIVE_V_START</t>
  </si>
  <si>
    <t xml:space="preserve">ACTIVE_V_END  </t>
  </si>
  <si>
    <t>pixels</t>
  </si>
  <si>
    <t>(including reqd. border fill)</t>
  </si>
  <si>
    <t>lines</t>
  </si>
  <si>
    <t>MHz</t>
  </si>
  <si>
    <t>(active image region)</t>
  </si>
  <si>
    <t>Hsync period</t>
  </si>
  <si>
    <t>dclks/line</t>
  </si>
  <si>
    <t>Vsync period</t>
  </si>
  <si>
    <t>lines/frame</t>
  </si>
  <si>
    <t>Vsync Pulse Width</t>
  </si>
  <si>
    <t>Vert. Back Porch</t>
  </si>
  <si>
    <t>Vert. Front Porch</t>
  </si>
  <si>
    <t>Register Name</t>
  </si>
  <si>
    <t>Data (in hex)</t>
  </si>
  <si>
    <t>Active region auto centered within display region</t>
  </si>
  <si>
    <t>Clocks</t>
  </si>
  <si>
    <t>bytes/pixel</t>
  </si>
  <si>
    <t>lanes</t>
  </si>
  <si>
    <t>HACT time</t>
  </si>
  <si>
    <t>HFP time</t>
  </si>
  <si>
    <t>T_CLK_PREPARE</t>
  </si>
  <si>
    <t>escclk</t>
  </si>
  <si>
    <t>T_CLK_ZERO</t>
  </si>
  <si>
    <t>T_CLK_TRAIL</t>
  </si>
  <si>
    <t>UI</t>
  </si>
  <si>
    <t>ns</t>
  </si>
  <si>
    <t>T_HS_PREPARE</t>
  </si>
  <si>
    <t>T_HS_ZERO</t>
  </si>
  <si>
    <t>T_HS_TRAIL</t>
  </si>
  <si>
    <t>T_HS_RQST</t>
  </si>
  <si>
    <t>T_HS_EXIT</t>
  </si>
  <si>
    <t>T_TA_GO</t>
  </si>
  <si>
    <t>T_TA_GET</t>
  </si>
  <si>
    <t>T_TA_SURE</t>
  </si>
  <si>
    <t>Tlpx</t>
  </si>
  <si>
    <t>T_CLK_POST</t>
  </si>
  <si>
    <t>T_CLK_PRE</t>
  </si>
  <si>
    <t>(hardwired to PHY inputs)</t>
  </si>
  <si>
    <t>min (ns)</t>
  </si>
  <si>
    <t>max (ns)</t>
  </si>
  <si>
    <t>MDP REGISTER PROGRAMMING</t>
  </si>
  <si>
    <t>MDP_DSI_VIDEO_HSYNC_CTL</t>
  </si>
  <si>
    <t>MDP_DSI_VIDEO_VSYNC_PERIOD</t>
  </si>
  <si>
    <t>MDP_DSI_VIDEO_VSYNC_PULSE_WIDTH</t>
  </si>
  <si>
    <t>MDP_DSI_VIDEO_DISPLAY_HCTL</t>
  </si>
  <si>
    <t>MDP_DSI_VIDEO_DISPLAY_V_START</t>
  </si>
  <si>
    <t>MDP_DSI_VIDEO_DISPLAY_V_END</t>
  </si>
  <si>
    <t>MDP_DSI_VIDEO_ACTIVE_HCTL</t>
  </si>
  <si>
    <t>MDP_DSI_VIDEO_ACTIVE_V_START</t>
  </si>
  <si>
    <t>MDP_DSI_VIDEO_ACTIVE_V_END</t>
  </si>
  <si>
    <t>pclks</t>
  </si>
  <si>
    <t>min</t>
  </si>
  <si>
    <t>max</t>
  </si>
  <si>
    <t>Dot clock overhead (blanking %)</t>
  </si>
  <si>
    <t>HBP + hsync time</t>
  </si>
  <si>
    <t>frame per sec</t>
  </si>
  <si>
    <t>Blanking %</t>
  </si>
  <si>
    <t>%</t>
  </si>
  <si>
    <t>Miscellaneous calculation</t>
  </si>
  <si>
    <t xml:space="preserve">DSI_VIDEO_MODE_ACTIVE_H </t>
  </si>
  <si>
    <t>DSI_VIDEO_MODE_ACTIVE_V</t>
  </si>
  <si>
    <t>DSI_VIDEO_MODE_TOTAL</t>
  </si>
  <si>
    <t>DSI_VIDEO_MODE_VSYNC</t>
  </si>
  <si>
    <t>DSI_VIDEO_MODE_VSYNC_VPOS</t>
  </si>
  <si>
    <t>DSI VIDEO MODE REGISTER SETTINGS</t>
  </si>
  <si>
    <t>Recommended register settings (dec)</t>
  </si>
  <si>
    <t>To run macro that verifies the video parameters with respect to the DSI video programming rules, press Ctrl-L</t>
  </si>
  <si>
    <t>2. DSI PHY registers</t>
  </si>
  <si>
    <t>1. PHY Timing parameters calculated from bitclk calculated in "dsi and mdp registers" and escclk source set in "dsi and mdp registers"</t>
  </si>
  <si>
    <t>3. DSI Registers (address)</t>
  </si>
  <si>
    <t>DSI PHY TIMING REGISTER SETTINGS</t>
  </si>
  <si>
    <t>DSI_VIDEO_MODE_HSYNC</t>
  </si>
  <si>
    <t>bitclk (desired frequency)</t>
  </si>
  <si>
    <t>byteclk (actual frequency)</t>
  </si>
  <si>
    <t>dsiclk (actual frequency)</t>
  </si>
  <si>
    <t>pclk (actual frequency)</t>
  </si>
  <si>
    <t>`</t>
  </si>
  <si>
    <t>Treot</t>
  </si>
  <si>
    <t>TEOT of data lane</t>
  </si>
  <si>
    <t>TEOT of clock lane</t>
  </si>
  <si>
    <t>MIPI PHY v1.1 requirement</t>
  </si>
  <si>
    <t>% from min (parameters w/ no max) =</t>
  </si>
  <si>
    <t>% within allowable PHY timing range =</t>
  </si>
  <si>
    <t>MMSS_CC ESCCLK PREDIV</t>
  </si>
  <si>
    <t>Full Rate Bitclk</t>
  </si>
  <si>
    <t>Mbps</t>
  </si>
  <si>
    <t>% from min Tclk-prepare =</t>
  </si>
  <si>
    <t>% from min Ths-prepare =</t>
  </si>
  <si>
    <t>Check for T_CLK_ZERO</t>
  </si>
  <si>
    <t>Initial release</t>
  </si>
  <si>
    <t>A</t>
  </si>
  <si>
    <t>Description</t>
  </si>
  <si>
    <t>Date</t>
  </si>
  <si>
    <t>Revision</t>
  </si>
  <si>
    <t>Revision history</t>
  </si>
  <si>
    <t>Instructions</t>
  </si>
  <si>
    <t>DSI and MDP registers</t>
  </si>
  <si>
    <t>line time</t>
  </si>
  <si>
    <t>dec</t>
  </si>
  <si>
    <t>Check done!</t>
  </si>
  <si>
    <t>ok</t>
  </si>
  <si>
    <t>Hori. Front Porch</t>
  </si>
  <si>
    <t>Hori. Back Porch + hsync pulse width</t>
  </si>
  <si>
    <t>Hori. Back Porch</t>
  </si>
  <si>
    <t>Hsync Pulse Width</t>
  </si>
  <si>
    <t>Active Height</t>
  </si>
  <si>
    <t>Active Width</t>
  </si>
  <si>
    <t>Display Height</t>
  </si>
  <si>
    <t>Display Width</t>
  </si>
  <si>
    <t>pixel format BPP</t>
  </si>
  <si>
    <t>lane config</t>
  </si>
  <si>
    <t>frame rate</t>
  </si>
  <si>
    <t>Enter requirements (Enter values in blue)</t>
  </si>
  <si>
    <t>(User may overwrite the values in blue)</t>
  </si>
  <si>
    <t>program value</t>
  </si>
  <si>
    <t>overhead in data transmission</t>
  </si>
  <si>
    <t>value in hex</t>
  </si>
  <si>
    <t>This calculator is only applicable for the following chips:</t>
  </si>
  <si>
    <t>8x26</t>
  </si>
  <si>
    <t>8x16</t>
  </si>
  <si>
    <t>8x62</t>
  </si>
  <si>
    <t>B</t>
  </si>
  <si>
    <t>Updated colors</t>
  </si>
  <si>
    <t>C</t>
  </si>
  <si>
    <t>DSIPHY_TIMING_CTRL_0</t>
  </si>
  <si>
    <t>DSIPHY_TIMING_CTRL_1</t>
  </si>
  <si>
    <t>DSIPHY_TIMING_CTRL_2</t>
  </si>
  <si>
    <t xml:space="preserve">DSIPHY_TIMING_CTRL_3 </t>
  </si>
  <si>
    <t>DSIPHY_TIMING_CTRL_4</t>
  </si>
  <si>
    <t>DSIPHY_TIMING_CTRL_5</t>
  </si>
  <si>
    <t>DSIPHY_TIMING_CTRL_6</t>
  </si>
  <si>
    <t>DSIPHY_TIMING_CTRL_7</t>
  </si>
  <si>
    <t>DSIPHY_TIMING_CTRL_8</t>
  </si>
  <si>
    <t>DSIPHY_TIMING_CTRL_9</t>
  </si>
  <si>
    <t>DSIPHY_TIMING_CTRL_10</t>
  </si>
  <si>
    <t>DSI_CLKOUT_TIMING_CTRL</t>
  </si>
  <si>
    <t xml:space="preserve">DSI_TEST_PATTERN_GEN_VIDEO_ENABLE </t>
  </si>
  <si>
    <t>PHY Registers</t>
  </si>
  <si>
    <t>µs</t>
  </si>
  <si>
    <t>DSIPHY_CKLN_TIMING_CTRL_4</t>
  </si>
  <si>
    <t>DSIPHY_CKLN_TIMING_CTRL_5</t>
  </si>
  <si>
    <t>DSIPHY_CKLN_TIMING_CTRL_6</t>
  </si>
  <si>
    <t>DSIPHY_CKLN_TIMING_CTRL_7</t>
  </si>
  <si>
    <t>DSIPHY_CKLN_TIMING_CTRL_8</t>
  </si>
  <si>
    <t>DSIPHY_DLN[0123]_TIMING_CTRL_4</t>
  </si>
  <si>
    <t>DSIPHY_DLN[0123]_TIMING_CTRL_5</t>
  </si>
  <si>
    <t>DSIPHY_DLN[0123]_TIMING_CTRL_6</t>
  </si>
  <si>
    <t>DSIPHY_DLN[0123]_TIMING_CTRL_7</t>
  </si>
  <si>
    <t>DSIPHY_DLN[0123]_TIMING_CTRL_8</t>
  </si>
  <si>
    <t>T_HS_RQST of clk lane</t>
  </si>
  <si>
    <t>T_HS_EXIT of clk lane</t>
  </si>
  <si>
    <t>part of T_CLK_PREPARE of clk lane</t>
  </si>
  <si>
    <t>T_HS_RQST of data lane</t>
  </si>
  <si>
    <t>DSIPHY_DLN[0123]_TIMING_CTRL_9</t>
  </si>
  <si>
    <t>DSIPHY_DLN[0123]_TIMING_CTRL_10</t>
  </si>
  <si>
    <t>DSIPHY_DLN[0123]_CFG1.DSIPHY_HSTX_HALFBYTECLK_EN</t>
  </si>
  <si>
    <t>part of T_HS_RQST of data lane</t>
  </si>
  <si>
    <t>8x28</t>
  </si>
  <si>
    <t>8x18</t>
  </si>
  <si>
    <t>Escclk source (mxo = 27MHz, pxo = 24MHz, cxo = 19.2MHz)</t>
  </si>
  <si>
    <t>PHY 2.x.x. Registers</t>
  </si>
  <si>
    <t>2. DSI PHY 2.x.x registers</t>
  </si>
  <si>
    <t>DSIPHY_CKLN_CFG1.DSIPHY_HSTX_HALFBYTECLK_EN</t>
  </si>
  <si>
    <t>second t_clk_prepare control (DSIPHY_CKLN_CFG1.DSIPHY_HSTX_HALFBYTECLK_EN)</t>
  </si>
  <si>
    <t>T_HS_RQST of clock lane</t>
  </si>
  <si>
    <t>DSIPHY_CKLN_CFG0.DSIPHY_HSTX_PREPARE_DLY</t>
  </si>
  <si>
    <t>DSI PHY IP Catalog version (major)</t>
  </si>
  <si>
    <t>Chip</t>
  </si>
  <si>
    <t>theoretical value (ns)</t>
  </si>
  <si>
    <t>DSIPHY_DLN[0123]_CFG0.DSIPHY_HSTX_PREPARE_DLY</t>
  </si>
  <si>
    <t>second t_hs_rqst control (DSIPHY_DLN[0123]_CFG1.DSIPHY_HSTX_HALFBYTECLK_EN)</t>
  </si>
  <si>
    <t>% from min Ths-zero =</t>
  </si>
  <si>
    <t>part of T_HS_PREPARE of data lane</t>
  </si>
  <si>
    <t>Disclaimer</t>
  </si>
  <si>
    <t>D</t>
  </si>
  <si>
    <t>July  2014</t>
  </si>
  <si>
    <t>E</t>
  </si>
  <si>
    <t>F</t>
  </si>
  <si>
    <t>May  2015</t>
  </si>
  <si>
    <t>8x74</t>
  </si>
  <si>
    <t>8x84</t>
  </si>
  <si>
    <t>8x94</t>
  </si>
  <si>
    <t>8x92</t>
  </si>
  <si>
    <t>8x09</t>
  </si>
  <si>
    <t>8x36</t>
  </si>
  <si>
    <t>8x39</t>
  </si>
  <si>
    <t>8x96</t>
  </si>
  <si>
    <t>2.   Click the "DSI Timing Program" tab from the ribbon if not already active.</t>
  </si>
  <si>
    <t>% from min Tclk-zero =</t>
  </si>
  <si>
    <t>8x52</t>
  </si>
  <si>
    <t>8x56</t>
  </si>
  <si>
    <t>8x29</t>
  </si>
  <si>
    <t>Calculator values are approximate and are only considered estimates.  If the user chooses, measuring the PHY output is the best way to determine the 
actual PHY timing parameters.</t>
  </si>
  <si>
    <t>G</t>
  </si>
  <si>
    <t>Added 8x37, 8x17 and 8x53 to applicable chipset</t>
  </si>
  <si>
    <t>8x37</t>
  </si>
  <si>
    <t>8x17</t>
  </si>
  <si>
    <t>8x53</t>
  </si>
  <si>
    <t>second t_clk_prepare control (DSIPHY_HSTX_HALFBYTECLK_EN)</t>
  </si>
  <si>
    <t>second t_hs_rqst control (DSIPHY_HSTX_HALFBYTECLK_EN)</t>
  </si>
  <si>
    <t>2. DSI PHY 3.x.x registers</t>
  </si>
  <si>
    <t>PHY 3.x.x. Registers in DPHY mode</t>
  </si>
  <si>
    <t>DSIPHY_CMN_TIMING_CTRL_0</t>
  </si>
  <si>
    <t>HALFBYTECLK_EN</t>
  </si>
  <si>
    <t>DSIPHY_CMN_TIMING_CTRL_1</t>
  </si>
  <si>
    <t>DSIPHY_CMN_TIMING_CTRL_2</t>
  </si>
  <si>
    <t>DSIPHY_CMN_TIMING_CTRL_3</t>
  </si>
  <si>
    <t>DSIPHY_CMN_TIMING_CTRL_4</t>
  </si>
  <si>
    <t>DSIPHY_CMN_TIMING_CTRL_5</t>
  </si>
  <si>
    <t>DSIPHY_CMN_TIMING_CTRL_6</t>
  </si>
  <si>
    <t>DSIPHY_CMN_TIMING_CTRL_7</t>
  </si>
  <si>
    <t>DSIPHY_CMN_TIMING_CTRL_8</t>
  </si>
  <si>
    <t>DSIPHY_CMN_TIMING_CTRL_9</t>
  </si>
  <si>
    <t>DSIPHY_CMN_TIMING_CTRL_10</t>
  </si>
  <si>
    <t xml:space="preserve">% Tclk-pre = </t>
  </si>
  <si>
    <t xml:space="preserve">% Tclk-post = </t>
  </si>
  <si>
    <t>8x98</t>
  </si>
  <si>
    <t>PHY mode (0 = DPHY; 1 = CPHY)</t>
  </si>
  <si>
    <t>H</t>
  </si>
  <si>
    <t>Tool Requirements</t>
  </si>
  <si>
    <t>SDM660</t>
  </si>
  <si>
    <t>SDM630</t>
  </si>
  <si>
    <t>J</t>
  </si>
  <si>
    <t>SDM450</t>
  </si>
  <si>
    <t>K</t>
  </si>
  <si>
    <t>L</t>
  </si>
  <si>
    <t>May  2017</t>
  </si>
  <si>
    <t>Added SDM450 to applicable chipset</t>
  </si>
  <si>
    <t>M</t>
  </si>
  <si>
    <t>June  2017</t>
  </si>
  <si>
    <t>Added SDM845 to applicable chipset</t>
  </si>
  <si>
    <t>SDM845</t>
  </si>
  <si>
    <t>N</t>
  </si>
  <si>
    <t>PHY 4.x.x. Registers in DPHY mode</t>
  </si>
  <si>
    <t>DSIPHY_CMN_TIMING_CTRL_12</t>
  </si>
  <si>
    <t>DSIPHY_CMN_TIMING_CTRL_13</t>
  </si>
  <si>
    <t>DSIPHY_CMN_CTRL_3</t>
  </si>
  <si>
    <t>DSI_LANE_CTRL.CLKLN_HS_REQUEST_SEL</t>
  </si>
  <si>
    <t>2. DSI PHY 4.x.x registers</t>
  </si>
  <si>
    <t>T_TA_SURE, T_TA_GO</t>
  </si>
  <si>
    <t>initial deskew calibration</t>
  </si>
  <si>
    <t>periodic deskew calibration</t>
  </si>
  <si>
    <t>MIPI PHY v1.2 requirement</t>
  </si>
  <si>
    <t>% from min initial deskew =</t>
  </si>
  <si>
    <t>% from min periodic deskew =</t>
  </si>
  <si>
    <t>DSI_DESKEW_DELAY_CTRL (setting for initial deskew)</t>
  </si>
  <si>
    <t>DSI_DESKEW_DELAY_CTRL (setting for periodic deskew)</t>
  </si>
  <si>
    <t>DSI_DESKEW_CTRL.DESKEW_CONTINOUS_CLK_EN (setting for periodic deskew in video mode operation)</t>
  </si>
  <si>
    <t>T_CLK_POST min required if periodic deskew calibration is required for video mode operation and if the line time is &lt; 5us</t>
  </si>
  <si>
    <t>periodic deskew calibration required (0 = no; 1 = yes)</t>
  </si>
  <si>
    <t>video mode operation (0 = command mode; 1 = video mode)</t>
  </si>
  <si>
    <t>Deskew Calibration setting</t>
  </si>
  <si>
    <t>LP-HS transition</t>
  </si>
  <si>
    <t>min line time required (= LP-HS transition + HW latency)</t>
  </si>
  <si>
    <t>P</t>
  </si>
  <si>
    <t>October 2017</t>
  </si>
  <si>
    <t>Added SDM670 and SDM636 to applicable chipset</t>
  </si>
  <si>
    <t>March 2018</t>
  </si>
  <si>
    <t>April 2018</t>
  </si>
  <si>
    <r>
      <rPr>
        <b/>
        <sz val="10"/>
        <rFont val="Arial"/>
        <family val="2"/>
      </rPr>
      <t>Note</t>
    </r>
    <r>
      <rPr>
        <sz val="10"/>
        <rFont val="Arial"/>
        <family val="2"/>
      </rPr>
      <t>: There is no Rev. I, O, Q, S, X, or Z per Mil. standards.</t>
    </r>
  </si>
  <si>
    <t>R</t>
  </si>
  <si>
    <t>SDM636</t>
  </si>
  <si>
    <t>SDM670</t>
  </si>
  <si>
    <t>SDM710</t>
  </si>
  <si>
    <t>SDM632</t>
  </si>
  <si>
    <t xml:space="preserve">Fixed wrong Macro of DSI PHY timing register setting in "DSI and MDP registers" tab </t>
  </si>
  <si>
    <t>Added 8994 and 8992 to applicable chipset in "User Instructions" tab</t>
  </si>
  <si>
    <t>Added 8909,8936 and 8939 to applicable chipset in "User Instructions" tab</t>
  </si>
  <si>
    <t xml:space="preserve">Added 8x18, 8x28, 8x52, 8x56, 8x29, and 8x96 to applicable chipset in "User Instructions" tab;
Added "DSI PHY 2.0.0 timing setting" tab </t>
  </si>
  <si>
    <t>Added 8x98 to applicable chipset, add "DSI PHY 3.0.0 DPHY timing" tab</t>
  </si>
  <si>
    <t>Added SDM660,SDM630 to applicable chipset, updated  "DSI PHY 3.0.0 DPHY timing" tab</t>
  </si>
  <si>
    <t>Updated "DSI and MDP registers" tab and "DSI PHY 2.0.0 timing setting" tab</t>
  </si>
  <si>
    <t>Added minimum line time calculation in "DSI and MDP registers" tab</t>
  </si>
  <si>
    <t>Added SDM710, SDM632, SDM855, SDM1000 to applicable chips in "User Instructions" tab
Added "DSI PHY 4.0.0 DPHY timing" tab</t>
  </si>
  <si>
    <t>August 2013</t>
  </si>
  <si>
    <t>October 2013</t>
  </si>
  <si>
    <t>December  2014</t>
  </si>
  <si>
    <t>February  2016</t>
  </si>
  <si>
    <t>August  2016</t>
  </si>
  <si>
    <t>February  2017</t>
  </si>
  <si>
    <t>April  2017</t>
  </si>
  <si>
    <t>Use Excel 2010 or higher for proper macro operation.</t>
  </si>
  <si>
    <t>Vert. Back Porch + VSync pulse width</t>
  </si>
  <si>
    <t>T</t>
  </si>
  <si>
    <t>SDM439</t>
  </si>
  <si>
    <t>Is polarity ON?</t>
  </si>
  <si>
    <t>Tlpx (SNPS PHY)</t>
  </si>
  <si>
    <t>Tlpx (External PHY)</t>
  </si>
  <si>
    <t>Request_mask*</t>
  </si>
  <si>
    <t>Treot (HSTX_POFF_TIME)</t>
  </si>
  <si>
    <t>Mbps/lane</t>
  </si>
  <si>
    <t>byteclk</t>
  </si>
  <si>
    <t>Recommendation (ns)</t>
  </si>
  <si>
    <t>check theoretical value against spec requirement</t>
  </si>
  <si>
    <t>Ta-go (External PHY) 
vs
 Ta-sure (SNPS PHY)</t>
  </si>
  <si>
    <t>Additional comments</t>
  </si>
  <si>
    <t xml:space="preserve">Program default values </t>
  </si>
  <si>
    <t>Select hsfreqrange to ensure that on sims the T_CLK_PREPARE  matches cell E11</t>
  </si>
  <si>
    <t>second t_clk_prepare control (gtp_extension_clklane[3:0])</t>
  </si>
  <si>
    <t xml:space="preserve"> </t>
  </si>
  <si>
    <t>Select hsfreqrange to ensure that on sims the gtp_extension_clklane matches cell E12</t>
  </si>
  <si>
    <t>Select hsfreqrange to ensure that on sims the T_HS_PREPARE matches cell E15</t>
  </si>
  <si>
    <t>second t_hs_prepare control (gtp_extension_datalanes[3:0])</t>
  </si>
  <si>
    <t>Select hsfreqrange to ensure that on sims the gtp_extension_datalanes matches cell E16</t>
  </si>
  <si>
    <t>T_HS_RQST of data lane **</t>
  </si>
  <si>
    <t>T_HS_EXIT of data lane</t>
  </si>
  <si>
    <t>T_HS_EXIT of clock lane</t>
  </si>
  <si>
    <t>Set value 3</t>
  </si>
  <si>
    <t>T_TA_SURE (max)</t>
  </si>
  <si>
    <t>Value fixed to 1</t>
  </si>
  <si>
    <t>T_TA_SURE (min)</t>
  </si>
  <si>
    <t>Not programmable</t>
  </si>
  <si>
    <t>T_HS_RQST of clock lane ***</t>
  </si>
  <si>
    <t>overhead in data transmission (ns)</t>
  </si>
  <si>
    <t>overhead in data transmission (byteclk)</t>
  </si>
  <si>
    <t xml:space="preserve">mdss_dsi_[01]_phy_hstx_clklane_hs0state_tim_ctrl.hstxthszero_clklane_ovr </t>
  </si>
  <si>
    <t>mdss_dsi_[01]_phy_hstx_datalane_hs0state_tim_ctrl.hstxthszero_datalane_int</t>
  </si>
  <si>
    <t xml:space="preserve">mdss_dsi_[01]_phy_hstx_clklane_tralstate_tim_ctrl.hstxthstrail_clklane_ovr </t>
  </si>
  <si>
    <t>mdss_dsi_[01]_phy_hstx_datalane_trailstate_tim_ctrl.hstxthstrail_datalane_int</t>
  </si>
  <si>
    <t>mdss_dsi_[01]_phy_hstx_clklane_clkpoststate_tim_ctrl.hstxthsclkpost_clklane_ovr</t>
  </si>
  <si>
    <t xml:space="preserve">mdss_dsi_[01]_phy_hstx_clklane_reqstate_tim_ctrl.hstxthsrqst_clklane_ovr </t>
  </si>
  <si>
    <t>mdss_dsi_[01]_phy_hstx_datalane_reqstate_tim_ctrl.hstxthsrqst_datalane_int</t>
  </si>
  <si>
    <t xml:space="preserve">mdss_dsi_[01]_phy_hstx_clklane_exitstate_tim_ctrl.hstxthsexit_clklane_ovr </t>
  </si>
  <si>
    <t>mdss_dsi_[01]_phy_hstx_datalane_exitstate_tim_ctrl.hstxthsexit_datalane_int</t>
  </si>
  <si>
    <t xml:space="preserve">mdss_dsi_[01]_phy_t_ta_go_tim_count.ttago </t>
  </si>
  <si>
    <t xml:space="preserve">mdss_dsi_[01]_phy_t_ta_sure_tim_count.ttasure </t>
  </si>
  <si>
    <t>mdss_dsi_[01]_phy_hstx_clklane_hs0state_tim_ctrl.hstxthszero_ovr_en_clklane</t>
  </si>
  <si>
    <t xml:space="preserve">mdss_dsi_[01]_phy_hstx_datalane_hs0state_tim_ctrl.hstxthszero_ovr_en_datalanes </t>
  </si>
  <si>
    <t xml:space="preserve">mdss_dsi_[01]_phy_hstx_clklane_tralstate_tim_ctrl.hstxthstrail_ovr_en_clklane </t>
  </si>
  <si>
    <t xml:space="preserve">mdss_dsi_[01]_phy_hstx_datalane_trailstate_tim_ctrl.hstxthstrail_ovr_en_datalanes </t>
  </si>
  <si>
    <t xml:space="preserve">mdss_dsi_[01]_phy_hstx_clklane_clkpoststate_tim_ctrl.hstxthsclkpost_ovr_en_clklane </t>
  </si>
  <si>
    <t xml:space="preserve">mdss_dsi_[01]_phy_hstx_clklane_exitstate_tim_ctrl.hstxthsrqst_ovr_en_clklane </t>
  </si>
  <si>
    <t xml:space="preserve">mdss_dsi_[01]_phy_hstx_datalane_exitstate_tim_ctrl.hstxthsrqst_ovr_en_datalanes </t>
  </si>
  <si>
    <t>mdss_dsi_[01]_phy_hstx_clklane_exitstate_tim_ctrl.hstxthsexit_ovr_en_clklane</t>
  </si>
  <si>
    <t xml:space="preserve">mdss_dsi_[01]_phy_hstx_datalane_exitstate_tim_ctrl.hstxthsexit_ovr_en_datalanes </t>
  </si>
  <si>
    <t>TXBYTECLKHS (ns)</t>
  </si>
  <si>
    <r>
      <t>Φ</t>
    </r>
    <r>
      <rPr>
        <vertAlign val="subscript"/>
        <sz val="10"/>
        <color theme="1"/>
        <rFont val="Arial"/>
        <family val="2"/>
      </rPr>
      <t>TXBYTECLKHS-TXWORDCLKHS (ns)</t>
    </r>
  </si>
  <si>
    <t>Δserializer (ns)</t>
  </si>
  <si>
    <t>WADDR-RADDR</t>
  </si>
  <si>
    <t>HSTX_TEN_DELAY (ns)</t>
  </si>
  <si>
    <t>HSTX_POFF_TIME (ns)</t>
  </si>
  <si>
    <t>LPTX_IO_FALL_DELAY (ns)</t>
  </si>
  <si>
    <t>gtp_extension_clklane[3]*(TXBYTECLKHS/4+gtp_extension_clklane[2:0]*TXBYTECLKHS/8) (ns)</t>
  </si>
  <si>
    <t>gtp_extension_datalanes[3]*(TXBYTECLKHS/4+gtp_extension_datalanes[2:0]*TXBYTECLKHS/8) (ns)</t>
  </si>
  <si>
    <t>LPRX_IO_DELAY_RISE (ns)</t>
  </si>
  <si>
    <t xml:space="preserve">LPTX_IO_DP_DN_FALL_DELTA (ns)
</t>
  </si>
  <si>
    <t>IN</t>
  </si>
  <si>
    <t>7'b0000000</t>
  </si>
  <si>
    <t>:</t>
  </si>
  <si>
    <t>hstxthsrqst_datalanes</t>
  </si>
  <si>
    <t>=</t>
  </si>
  <si>
    <t>hstxthsrqst_ovr_en_datalanes</t>
  </si>
  <si>
    <t>?</t>
  </si>
  <si>
    <t>hstxthsrqst_datalanes_ovr</t>
  </si>
  <si>
    <t>8'd4</t>
  </si>
  <si>
    <t>//</t>
  </si>
  <si>
    <t>7'b0010000</t>
  </si>
  <si>
    <t>8'd5</t>
  </si>
  <si>
    <t>7'b0100000</t>
  </si>
  <si>
    <t>7'b0110000</t>
  </si>
  <si>
    <t>8'd6</t>
  </si>
  <si>
    <t>7'b0000001</t>
  </si>
  <si>
    <t>8'd7</t>
  </si>
  <si>
    <t>7'b0010001</t>
  </si>
  <si>
    <t>7'b0100001</t>
  </si>
  <si>
    <t>8'd8</t>
  </si>
  <si>
    <t>7'b0110001</t>
  </si>
  <si>
    <t>8'd9</t>
  </si>
  <si>
    <t>7'b0000010</t>
  </si>
  <si>
    <t>7'b0010010</t>
  </si>
  <si>
    <t>8'd10</t>
  </si>
  <si>
    <t>7'b0100010</t>
  </si>
  <si>
    <t>7'b0110010</t>
  </si>
  <si>
    <t>8'd11</t>
  </si>
  <si>
    <t>7'b0000011</t>
  </si>
  <si>
    <t>8'd12</t>
  </si>
  <si>
    <t>7'b0010011</t>
  </si>
  <si>
    <t>8'd13</t>
  </si>
  <si>
    <t>7'b0100011</t>
  </si>
  <si>
    <t>8'd14</t>
  </si>
  <si>
    <t>7'b0110011</t>
  </si>
  <si>
    <t>8'd16</t>
  </si>
  <si>
    <t>7'b0000100</t>
  </si>
  <si>
    <t>8'd17</t>
  </si>
  <si>
    <t>7'b0010100</t>
  </si>
  <si>
    <t>8'd19</t>
  </si>
  <si>
    <t>7'b0100101</t>
  </si>
  <si>
    <t>8'd21</t>
  </si>
  <si>
    <t>7'b0110101</t>
  </si>
  <si>
    <t>8'd23</t>
  </si>
  <si>
    <t>7'b0000101</t>
  </si>
  <si>
    <t>8'd26</t>
  </si>
  <si>
    <t>7'b0010110</t>
  </si>
  <si>
    <t>8'd30</t>
  </si>
  <si>
    <t>7'b0100110</t>
  </si>
  <si>
    <t>8'd33</t>
  </si>
  <si>
    <t>7'b0110111</t>
  </si>
  <si>
    <t>8'd36</t>
  </si>
  <si>
    <t>7'b0000111</t>
  </si>
  <si>
    <t>8'd40</t>
  </si>
  <si>
    <t>7'b0011000</t>
  </si>
  <si>
    <t>8'd43</t>
  </si>
  <si>
    <t>7'b0101000</t>
  </si>
  <si>
    <t>8'd46</t>
  </si>
  <si>
    <t>7'b0111001</t>
  </si>
  <si>
    <t>8'd49</t>
  </si>
  <si>
    <t>7'b0001001</t>
  </si>
  <si>
    <t>8'd53</t>
  </si>
  <si>
    <t>7'b0011001</t>
  </si>
  <si>
    <t>8'd56</t>
  </si>
  <si>
    <t>7'b0101001</t>
  </si>
  <si>
    <t>8'd59</t>
  </si>
  <si>
    <t>7'b0111010</t>
  </si>
  <si>
    <t>8'd62</t>
  </si>
  <si>
    <t>7'b0001010</t>
  </si>
  <si>
    <t>8'd66</t>
  </si>
  <si>
    <t>7'b0011010</t>
  </si>
  <si>
    <t>8'd69</t>
  </si>
  <si>
    <t>7'b0101010</t>
  </si>
  <si>
    <t>8'd72</t>
  </si>
  <si>
    <t>7'b0111011</t>
  </si>
  <si>
    <t>8'd76</t>
  </si>
  <si>
    <t>7'b0001011</t>
  </si>
  <si>
    <t>8'd79</t>
  </si>
  <si>
    <t>7'b0011011</t>
  </si>
  <si>
    <t>8'd82</t>
  </si>
  <si>
    <t>7'b0101011</t>
  </si>
  <si>
    <t>8'd85</t>
  </si>
  <si>
    <t>7'b0111100</t>
  </si>
  <si>
    <t>8'd89</t>
  </si>
  <si>
    <t>7'b0001100</t>
  </si>
  <si>
    <t>8'd92</t>
  </si>
  <si>
    <t>7'b0011100</t>
  </si>
  <si>
    <t>8'd95</t>
  </si>
  <si>
    <t>7'b0101100</t>
  </si>
  <si>
    <t>8'd99</t>
  </si>
  <si>
    <t>7'b0111101</t>
  </si>
  <si>
    <t>8'd102</t>
  </si>
  <si>
    <t>7'b0001101</t>
  </si>
  <si>
    <t>8'd105</t>
  </si>
  <si>
    <t>7'b0011101</t>
  </si>
  <si>
    <t>8'd108</t>
  </si>
  <si>
    <t>7'b0101110</t>
  </si>
  <si>
    <t>8'd112</t>
  </si>
  <si>
    <t>7'b0111110</t>
  </si>
  <si>
    <t>8'd115</t>
  </si>
  <si>
    <t>7'b0001110</t>
  </si>
  <si>
    <t>8'd118</t>
  </si>
  <si>
    <t>7'b0011110</t>
  </si>
  <si>
    <t>8'd122</t>
  </si>
  <si>
    <t>7'b0101111</t>
  </si>
  <si>
    <t>8'd125</t>
  </si>
  <si>
    <t>7'b0111111</t>
  </si>
  <si>
    <t>8'd128</t>
  </si>
  <si>
    <t>7'b0001111</t>
  </si>
  <si>
    <t>8'd131</t>
  </si>
  <si>
    <t>7'b1000000</t>
  </si>
  <si>
    <t>8'd135</t>
  </si>
  <si>
    <t>7'b1000001</t>
  </si>
  <si>
    <t>8'd138</t>
  </si>
  <si>
    <t>7'b1000010</t>
  </si>
  <si>
    <t>8'd141</t>
  </si>
  <si>
    <t>7'b1000011</t>
  </si>
  <si>
    <t>8'd145</t>
  </si>
  <si>
    <t>7'b1000100</t>
  </si>
  <si>
    <t>8'd148</t>
  </si>
  <si>
    <t>7'b1000101</t>
  </si>
  <si>
    <t>8'd151</t>
  </si>
  <si>
    <t>7'b1000110</t>
  </si>
  <si>
    <t>8'd155</t>
  </si>
  <si>
    <t>7'b1000111</t>
  </si>
  <si>
    <t>7'b1001000</t>
  </si>
  <si>
    <t>7'b1001001</t>
  </si>
  <si>
    <t>OUT</t>
  </si>
  <si>
    <t>gtp_clocklanes</t>
  </si>
  <si>
    <t>gtp_extension_clklane</t>
  </si>
  <si>
    <t>(gtp_extension_clklane_ovr_en)</t>
  </si>
  <si>
    <t>gtp_extension_clklane_ovr</t>
  </si>
  <si>
    <t>{1'b1,3'd5};</t>
  </si>
  <si>
    <t>{1'b1,3'd6};</t>
  </si>
  <si>
    <t>{1'b1,3'd7};</t>
  </si>
  <si>
    <t>{1'b1,3'd0};</t>
  </si>
  <si>
    <t>{1'b1,3'd1};</t>
  </si>
  <si>
    <t>{1'b1,3'd2};</t>
  </si>
  <si>
    <t>{1'b1,3'd3};</t>
  </si>
  <si>
    <t>{1'b1,3'd4};</t>
  </si>
  <si>
    <t>{1'b0,3'd0};</t>
  </si>
  <si>
    <t>gtp_datalanes</t>
  </si>
  <si>
    <t>gtp_extension_datalanes</t>
  </si>
  <si>
    <t>(gtp_extension_datalanes_ovr_en)</t>
  </si>
  <si>
    <t>gtp_extension_datalanes_ovr</t>
  </si>
  <si>
    <t>hstxthsprpr_clocklanes</t>
  </si>
  <si>
    <t>hstxthsprpr_clklane</t>
  </si>
  <si>
    <t>hstxthsprpr_ovr_en_clklane</t>
  </si>
  <si>
    <t>hstxthsprpr_clklane_ovr</t>
  </si>
  <si>
    <t>{6'd0 };</t>
  </si>
  <si>
    <t>{6'd1 };</t>
  </si>
  <si>
    <t>{6'd2 };</t>
  </si>
  <si>
    <t>{6'd3 };</t>
  </si>
  <si>
    <t>{6'd4 };</t>
  </si>
  <si>
    <t>{6'd5 };</t>
  </si>
  <si>
    <t>{6'd6 };</t>
  </si>
  <si>
    <t>{6'd7 };</t>
  </si>
  <si>
    <t>{6'd8 };</t>
  </si>
  <si>
    <t>{6'd9 };</t>
  </si>
  <si>
    <t>{6'd10};</t>
  </si>
  <si>
    <t>{6'd11};</t>
  </si>
  <si>
    <t>{6'd12};</t>
  </si>
  <si>
    <t>{6'd13};</t>
  </si>
  <si>
    <t>{6'd14};</t>
  </si>
  <si>
    <t>{6'd15};</t>
  </si>
  <si>
    <t>{6'd16};</t>
  </si>
  <si>
    <t>{6'd17};</t>
  </si>
  <si>
    <t>{6'd18};</t>
  </si>
  <si>
    <t>{6'd19};</t>
  </si>
  <si>
    <t>{6'd20};</t>
  </si>
  <si>
    <t>{6'd21};</t>
  </si>
  <si>
    <t>{6'd22};</t>
  </si>
  <si>
    <t>{6'd23};</t>
  </si>
  <si>
    <t>{6'd24};</t>
  </si>
  <si>
    <t>{6'd25};</t>
  </si>
  <si>
    <t>hstxthsprpr_datalanes</t>
  </si>
  <si>
    <t>hstxthsprpr_ovr_en_datalanes</t>
  </si>
  <si>
    <t>hstxthsprpr_datalanes_ovr</t>
  </si>
  <si>
    <t xml:space="preserve"> comment</t>
  </si>
  <si>
    <t>Y</t>
  </si>
  <si>
    <t>SDM429</t>
  </si>
  <si>
    <t>June 2018</t>
  </si>
  <si>
    <t>Added SDM439 and SDM429 to applicable chipset
Added tabs "SDM439 DPHY timing", "T_HS_RQST", "GTP_clocklanes", "GTP_datalanes", "PREPARE_clocklanes", and "PREPARE_datalanes" for SDM439 and SDM429
Updated DSIPHY_T_TA_GO to 2 in "DSI PHY 2.0.0 timing setting", "DSI PHY 3.0.0 DPHY timing" and 
"DSI PHY 4.0.0 DPHY timing" tabs</t>
  </si>
  <si>
    <t>U</t>
  </si>
  <si>
    <t>July 2018</t>
  </si>
  <si>
    <t>Updated T_CLK_POST calculation in "SDM439 DPHY timing" tab</t>
  </si>
  <si>
    <t>mdss_dsi_[01]_phy_mipi_dsi_phy_req_dly.req_dly</t>
  </si>
  <si>
    <t>mdss_dsi_[01]_phy_mipi_dsi_phy_req_dly.req_dly_en</t>
  </si>
  <si>
    <t>2. SDM439/SDM429 PHY registers</t>
  </si>
  <si>
    <t>SDM439/SDM429 PHY Registers</t>
  </si>
  <si>
    <t>SM6150</t>
  </si>
  <si>
    <t>V</t>
  </si>
  <si>
    <t>hsync packet transfer time for event or burst video traffic mode (us)</t>
  </si>
  <si>
    <t>hsync packet transfer time for pulse video traffic mode (us)</t>
  </si>
  <si>
    <t>DMA command packet size (byte)</t>
  </si>
  <si>
    <t>panel's Tlpx period (ns)</t>
  </si>
  <si>
    <t>DMA power mode (0=HS; 1=LP)</t>
  </si>
  <si>
    <t>DMA command transfer time (ns)</t>
  </si>
  <si>
    <t>max read packet size (byte)</t>
  </si>
  <si>
    <t>video traffic mode (0=pulse; 1=event; 2 = burst)</t>
  </si>
  <si>
    <t xml:space="preserve">enter the following information in blue for max DMA transfer time calculation </t>
  </si>
  <si>
    <t>enter the following information in blue for max panel read response calculation</t>
  </si>
  <si>
    <t>DSI controller major version</t>
  </si>
  <si>
    <t>DSI controller minor version</t>
  </si>
  <si>
    <t>time allowed for DMA+BTA+panel response packet transfer (ns)</t>
  </si>
  <si>
    <t>max HS DMA transfer size (assume no BTA) (in bytes)</t>
  </si>
  <si>
    <t>max LP DMA transfer size (assume no BTA) (in bytes)</t>
  </si>
  <si>
    <t>LP-HS transition time for HS DMA power mode (us)</t>
  </si>
  <si>
    <t>LP-HS transition time for LP DMA power mode (us)</t>
  </si>
  <si>
    <t>Maximum Size Calculation of DMA Packet or Read Packet in Video Mode Operation</t>
  </si>
  <si>
    <t>SDM455</t>
  </si>
  <si>
    <t>SDM712</t>
  </si>
  <si>
    <t>QM215</t>
  </si>
  <si>
    <t>SA8155</t>
  </si>
  <si>
    <t>SA6155</t>
  </si>
  <si>
    <t>QCS40X</t>
  </si>
  <si>
    <t>QCS603</t>
  </si>
  <si>
    <t>QCS605</t>
  </si>
  <si>
    <t>QCS610</t>
  </si>
  <si>
    <t>SM8150</t>
  </si>
  <si>
    <t xml:space="preserve">Added Maximum Size Calculation of DMA Packet or Read Packet in Video Mode Operation in "DSI and MDP registers" tab. 
Added  the following chipsets to  applicable chips in "User Instructions" tab: SC8180X, SM6150, SDM455, SDM712, QM215, SA8155, SA6155, QCS40X, QCS603, QCS605, and QCS610.
Changed SDM855 to SM8150
</t>
  </si>
  <si>
    <t xml:space="preserve">3.   Click the "Check" button from the "DSI Timing Program" ribbon.  </t>
  </si>
  <si>
    <t>4.   If C25=1, Click "Reset" from the "DSI Timing Program" ribbon</t>
  </si>
  <si>
    <t>6.   Use the PHY timing register settings generated in cell B80:C102</t>
  </si>
  <si>
    <t>5.   If C25 = 1, Click "Validate" to validate T_CLK_ZERO.  Cell G4 on the "DSI PHY Timing Settings" worksheet should state "VALID" after performing this step.</t>
  </si>
  <si>
    <t>December 2018</t>
  </si>
  <si>
    <t xml:space="preserve">1.   Enter the DSI video prameters on the "DSI and MDP Registers" worksheet, select chipset from Cell C24 (it picks up PHY timing and copies it to main tab). </t>
  </si>
  <si>
    <t>W</t>
  </si>
  <si>
    <t>February 2019</t>
  </si>
  <si>
    <t>SM7150</t>
  </si>
  <si>
    <t>Fixed IF condition for SA8155 in cell B25 of the "DSI and MDP registers" tab.
Added SM7150 and SM6125 chipsets to applicable chips in "User Instructions" tab.</t>
  </si>
  <si>
    <t>SM6125</t>
  </si>
  <si>
    <t>SC8180</t>
  </si>
  <si>
    <t>May 2019</t>
  </si>
  <si>
    <t>SM8250</t>
  </si>
  <si>
    <t>Added SM8250 chipset to applicable chips in "User Instructions" tab.</t>
  </si>
  <si>
    <t>T3_PREPARE</t>
  </si>
  <si>
    <t>second t_3_prepare control (DSIPHY_HSTX_HALFBYTECLK_EN)</t>
  </si>
  <si>
    <t>T3_PREBEGIN</t>
  </si>
  <si>
    <t>T3_POST</t>
  </si>
  <si>
    <t>T3_HS_EXIT</t>
  </si>
  <si>
    <t>% from min T3-prepare =</t>
  </si>
  <si>
    <t>% from min T3_prebegin =</t>
  </si>
  <si>
    <t>% from min T3_post =</t>
  </si>
  <si>
    <t>% from min T3_hs_exit =</t>
  </si>
  <si>
    <t>PHY 4.x.x. Registers in CPHY mode</t>
  </si>
  <si>
    <t>% from min T_hs_rqst =</t>
  </si>
  <si>
    <t>SM7250</t>
  </si>
  <si>
    <t>SM6250</t>
  </si>
  <si>
    <t>Added DSI PHY 4.0.0 CPHY timing tab, added SM7250 and SM6250 chipset to applicable chips in "User Instructions" tab, added CPHY clock calculation in "DSI and MDP registers" tab</t>
  </si>
  <si>
    <t>September 2019</t>
  </si>
  <si>
    <t>YA</t>
  </si>
  <si>
    <t>YB</t>
  </si>
  <si>
    <t>Added DSI PHY 3.0.0 CPHY timing tab, updated PHY timing margin in DSI PHY 4.0.0 DPHY timing tab and added SM4250 chipset to applicable chips in "User Instructions" tab</t>
  </si>
  <si>
    <t>November 2019</t>
  </si>
  <si>
    <t>SM4250</t>
  </si>
  <si>
    <t>YC</t>
  </si>
  <si>
    <t>Selected margin</t>
  </si>
  <si>
    <t>regular margin</t>
  </si>
  <si>
    <t>reduced margin</t>
  </si>
  <si>
    <t>DPHY timing margin (0 = regular margin; 1 = reduced margin)</t>
  </si>
  <si>
    <t>March 2020</t>
  </si>
  <si>
    <t>% t-hs-rqst=</t>
  </si>
  <si>
    <t>MIPI CPHY v1.1 requirement</t>
  </si>
  <si>
    <t>% from min t-hs-rqst=</t>
  </si>
  <si>
    <t>SM8350</t>
  </si>
  <si>
    <t>•	In “User Instructions” tab, added SM8350 chipset to applicable chips
•	In "DSI and MDP registers" tab, added DPHY timing margin selection in C31 which is applied in the PHY timing calculation in "DSI PHY 4.0.0 DPHY timing" tab; added PHY version selection for SM8350
•	in "DSI PHY 3.0.0 DPHY timing",  increase t-hs-rqst margin
•	in "DSI PHY 4.0.0 DPHY timing",  relax the reduced margin for t-hs-zero, t_hs_trail, t_clk_trail and increase t-hs-rqst margin for bitclk
•	in "DSI PHY 3.0.0 CPHY timing" and "DSI PHY 4.0.0 CPHY timing", updated t3-prebegin min calculation by factoring t3-settle, increased margin for t-hs-rqst, t3-prebegin and t3-post</t>
  </si>
  <si>
    <t>YD</t>
  </si>
  <si>
    <t>May 2020</t>
  </si>
  <si>
    <t>Added SM6350 to the applicable chipset list</t>
  </si>
  <si>
    <t>YE</t>
  </si>
  <si>
    <t>September 2020</t>
  </si>
  <si>
    <t>Added SM4350 to the applicable chips list</t>
  </si>
  <si>
    <t>SM6350</t>
  </si>
  <si>
    <t>SM4350</t>
  </si>
  <si>
    <t>YF</t>
  </si>
  <si>
    <t>•	in "DSI PHY 4.0.0 DPHY timing",  fixed typo in the formula in E33
•	Added SM7350 to the applicable chips list</t>
  </si>
  <si>
    <t>YG</t>
  </si>
  <si>
    <t>in "DSI PHY 3.0.0 DPHY timing" tab,  increased t_clk_pre margin</t>
  </si>
  <si>
    <t>SM7350</t>
    <phoneticPr fontId="5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</si>
</sst>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0000000"/>
    <numFmt numFmtId="177" formatCode="[$-409]mmmm\ d\,\ yyyy;@"/>
    <numFmt numFmtId="178" formatCode="mmmm\ yyyy"/>
    <numFmt numFmtId="179" formatCode="[$-409]d\-mmm\-yy;@"/>
  </numFmts>
  <fonts count="52" x14ac:knownFonts="1">
    <font>
      <sz val="10"/>
      <color theme="1"/>
      <name val="Arial"/>
      <family val="2"/>
    </font>
    <font>
      <sz val="11"/>
      <color theme="1"/>
      <name val="宋体"/>
      <family val="2"/>
      <scheme val="minor"/>
    </font>
    <font>
      <sz val="11"/>
      <color theme="1"/>
      <name val="宋体"/>
      <family val="2"/>
      <scheme val="minor"/>
    </font>
    <font>
      <b/>
      <sz val="10"/>
      <color theme="1"/>
      <name val="Arial"/>
      <family val="2"/>
    </font>
    <font>
      <i/>
      <sz val="10"/>
      <name val="Arial"/>
      <family val="2"/>
    </font>
    <font>
      <b/>
      <sz val="10"/>
      <name val="Arial"/>
      <family val="2"/>
    </font>
    <font>
      <b/>
      <sz val="8"/>
      <color indexed="81"/>
      <name val="Tahoma"/>
      <family val="2"/>
    </font>
    <font>
      <sz val="8"/>
      <color indexed="81"/>
      <name val="Tahoma"/>
      <family val="2"/>
    </font>
    <font>
      <sz val="10"/>
      <name val="Arial"/>
      <family val="2"/>
    </font>
    <font>
      <b/>
      <sz val="10"/>
      <color rgb="FFFF0000"/>
      <name val="Arial"/>
      <family val="2"/>
    </font>
    <font>
      <b/>
      <sz val="10"/>
      <color rgb="FF0070C0"/>
      <name val="Arial"/>
      <family val="2"/>
    </font>
    <font>
      <b/>
      <sz val="14"/>
      <name val="Arial"/>
      <family val="2"/>
    </font>
    <font>
      <b/>
      <sz val="14"/>
      <color theme="1"/>
      <name val="Arial"/>
      <family val="2"/>
    </font>
    <font>
      <sz val="10"/>
      <color rgb="FF009600"/>
      <name val="Arial"/>
      <family val="2"/>
    </font>
    <font>
      <sz val="10"/>
      <color theme="1"/>
      <name val="Arial"/>
      <family val="2"/>
    </font>
    <font>
      <sz val="9"/>
      <color indexed="81"/>
      <name val="Tahoma"/>
      <family val="2"/>
    </font>
    <font>
      <b/>
      <sz val="9"/>
      <color indexed="81"/>
      <name val="Tahoma"/>
      <family val="2"/>
    </font>
    <font>
      <sz val="10"/>
      <name val="Arial"/>
      <family val="2"/>
    </font>
    <font>
      <sz val="9"/>
      <name val="Arial"/>
      <family val="2"/>
    </font>
    <font>
      <b/>
      <sz val="9"/>
      <name val="Arial"/>
      <family val="2"/>
    </font>
    <font>
      <b/>
      <sz val="16"/>
      <name val="Arial"/>
      <family val="2"/>
    </font>
    <font>
      <b/>
      <sz val="20"/>
      <name val="Arial"/>
      <family val="2"/>
    </font>
    <font>
      <sz val="10"/>
      <color theme="0" tint="-0.499984740745262"/>
      <name val="Arial"/>
      <family val="2"/>
    </font>
    <font>
      <b/>
      <sz val="10"/>
      <color theme="0" tint="-0.499984740745262"/>
      <name val="Arial"/>
      <family val="2"/>
    </font>
    <font>
      <sz val="10"/>
      <color rgb="FF0070C0"/>
      <name val="Arial"/>
      <family val="2"/>
    </font>
    <font>
      <b/>
      <sz val="18"/>
      <color theme="8" tint="-0.249977111117893"/>
      <name val="Arial"/>
      <family val="2"/>
    </font>
    <font>
      <b/>
      <sz val="14"/>
      <color rgb="FF0070C0"/>
      <name val="Arial"/>
      <family val="2"/>
    </font>
    <font>
      <sz val="10"/>
      <color rgb="FFFF0000"/>
      <name val="Arial"/>
      <family val="2"/>
    </font>
    <font>
      <b/>
      <sz val="14"/>
      <color indexed="12"/>
      <name val="Arial"/>
      <family val="2"/>
    </font>
    <font>
      <sz val="10"/>
      <color theme="8" tint="-0.249977111117893"/>
      <name val="Arial"/>
      <family val="2"/>
    </font>
    <font>
      <sz val="10"/>
      <color rgb="FF31849B"/>
      <name val="Arial"/>
      <family val="2"/>
    </font>
    <font>
      <sz val="11"/>
      <color theme="1"/>
      <name val="Calibri"/>
      <family val="2"/>
    </font>
    <font>
      <sz val="10"/>
      <color theme="0" tint="-0.14999847407452621"/>
      <name val="Arial"/>
      <family val="2"/>
    </font>
    <font>
      <b/>
      <sz val="10"/>
      <color theme="0" tint="-0.14999847407452621"/>
      <name val="Arial"/>
      <family val="2"/>
    </font>
    <font>
      <b/>
      <sz val="14"/>
      <color theme="8" tint="-0.249977111117893"/>
      <name val="Arial"/>
      <family val="2"/>
    </font>
    <font>
      <strike/>
      <sz val="9"/>
      <color indexed="81"/>
      <name val="Tahoma"/>
      <family val="2"/>
    </font>
    <font>
      <sz val="10"/>
      <color rgb="FF006100"/>
      <name val="Arial"/>
      <family val="2"/>
    </font>
    <font>
      <sz val="10"/>
      <name val="Arial"/>
      <family val="2"/>
    </font>
    <font>
      <b/>
      <sz val="10"/>
      <color theme="8" tint="-0.249977111117893"/>
      <name val="Arial"/>
      <family val="2"/>
    </font>
    <font>
      <b/>
      <i/>
      <sz val="10"/>
      <name val="Arial"/>
      <family val="2"/>
    </font>
    <font>
      <sz val="10"/>
      <name val="Arial"/>
      <family val="2"/>
    </font>
    <font>
      <sz val="11"/>
      <name val="Times New Roman"/>
      <family val="1"/>
    </font>
    <font>
      <b/>
      <sz val="11"/>
      <name val="Times New Roman"/>
      <family val="1"/>
    </font>
    <font>
      <sz val="11"/>
      <color theme="1"/>
      <name val="Times New Roman"/>
      <family val="1"/>
    </font>
    <font>
      <sz val="10"/>
      <name val="Arial"/>
      <family val="2"/>
    </font>
    <font>
      <b/>
      <sz val="12"/>
      <name val="Arial"/>
      <family val="2"/>
    </font>
    <font>
      <b/>
      <sz val="11"/>
      <color theme="1"/>
      <name val="宋体"/>
      <family val="2"/>
      <scheme val="minor"/>
    </font>
    <font>
      <vertAlign val="subscript"/>
      <sz val="10"/>
      <color theme="1"/>
      <name val="Arial"/>
      <family val="2"/>
    </font>
    <font>
      <sz val="11"/>
      <color rgb="FF009600"/>
      <name val="宋体"/>
      <family val="2"/>
      <scheme val="minor"/>
    </font>
    <font>
      <sz val="11"/>
      <color theme="0"/>
      <name val="宋体"/>
      <family val="2"/>
      <scheme val="minor"/>
    </font>
    <font>
      <sz val="10"/>
      <color theme="3" tint="0.39997558519241921"/>
      <name val="Arial"/>
      <family val="2"/>
    </font>
    <font>
      <sz val="9"/>
      <name val="宋体"/>
      <family val="3"/>
      <charset val="134"/>
    </font>
  </fonts>
  <fills count="10">
    <fill>
      <patternFill patternType="none"/>
    </fill>
    <fill>
      <patternFill patternType="gray125"/>
    </fill>
    <fill>
      <patternFill patternType="solid">
        <fgColor theme="0" tint="-4.9989318521683403E-2"/>
        <bgColor indexed="64"/>
      </patternFill>
    </fill>
    <fill>
      <patternFill patternType="solid">
        <fgColor rgb="FFFFFF00"/>
        <bgColor indexed="64"/>
      </patternFill>
    </fill>
    <fill>
      <patternFill patternType="solid">
        <fgColor theme="3" tint="0.79998168889431442"/>
        <bgColor indexed="64"/>
      </patternFill>
    </fill>
    <fill>
      <patternFill patternType="solid">
        <fgColor rgb="FFC6EFCE"/>
      </patternFill>
    </fill>
    <fill>
      <patternFill patternType="solid">
        <fgColor theme="4" tint="0.59999389629810485"/>
        <bgColor indexed="64"/>
      </patternFill>
    </fill>
    <fill>
      <patternFill patternType="solid">
        <fgColor theme="0"/>
        <bgColor indexed="64"/>
      </patternFill>
    </fill>
    <fill>
      <patternFill patternType="solid">
        <fgColor rgb="FF92D050"/>
        <bgColor indexed="64"/>
      </patternFill>
    </fill>
    <fill>
      <patternFill patternType="solid">
        <fgColor theme="9" tint="0.59999389629810485"/>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s>
  <cellStyleXfs count="93">
    <xf numFmtId="0" fontId="0" fillId="0" borderId="0"/>
    <xf numFmtId="0" fontId="17" fillId="0" borderId="0"/>
    <xf numFmtId="0" fontId="2" fillId="0" borderId="0"/>
    <xf numFmtId="0" fontId="2" fillId="0" borderId="0"/>
    <xf numFmtId="0" fontId="2" fillId="0" borderId="0"/>
    <xf numFmtId="0" fontId="14" fillId="0" borderId="0"/>
    <xf numFmtId="0" fontId="14" fillId="0" borderId="0"/>
    <xf numFmtId="0" fontId="14" fillId="0" borderId="0"/>
    <xf numFmtId="0" fontId="2" fillId="0" borderId="0"/>
    <xf numFmtId="0" fontId="2" fillId="0" borderId="0"/>
    <xf numFmtId="0" fontId="2" fillId="0" borderId="0"/>
    <xf numFmtId="0" fontId="2" fillId="0" borderId="0"/>
    <xf numFmtId="0" fontId="8" fillId="0" borderId="0"/>
    <xf numFmtId="0" fontId="37" fillId="0" borderId="0"/>
    <xf numFmtId="0" fontId="36" fillId="5" borderId="0" applyNumberFormat="0" applyBorder="0" applyAlignment="0" applyProtection="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14" fillId="0" borderId="0"/>
    <xf numFmtId="179" fontId="14" fillId="0" borderId="0"/>
    <xf numFmtId="0" fontId="2" fillId="0" borderId="0"/>
    <xf numFmtId="179" fontId="14" fillId="0" borderId="0"/>
    <xf numFmtId="179" fontId="14" fillId="0" borderId="0"/>
    <xf numFmtId="0" fontId="2" fillId="0" borderId="0"/>
    <xf numFmtId="0" fontId="2" fillId="0" borderId="0"/>
    <xf numFmtId="179" fontId="14" fillId="0" borderId="0"/>
    <xf numFmtId="179" fontId="14" fillId="0" borderId="0"/>
    <xf numFmtId="179" fontId="14" fillId="0" borderId="0"/>
    <xf numFmtId="179" fontId="8" fillId="0" borderId="0"/>
    <xf numFmtId="179" fontId="8" fillId="0" borderId="0"/>
    <xf numFmtId="177" fontId="40" fillId="0" borderId="0" applyBorder="0"/>
    <xf numFmtId="177" fontId="8" fillId="0" borderId="0" applyBorder="0"/>
    <xf numFmtId="177" fontId="44" fillId="0" borderId="0" applyBorder="0"/>
    <xf numFmtId="177" fontId="8" fillId="0" borderId="0" applyBorder="0"/>
  </cellStyleXfs>
  <cellXfs count="145">
    <xf numFmtId="0" fontId="0" fillId="0" borderId="0" xfId="0"/>
    <xf numFmtId="0" fontId="4" fillId="0" borderId="0" xfId="0" applyFont="1"/>
    <xf numFmtId="0" fontId="5" fillId="0" borderId="0" xfId="0" applyFont="1" applyAlignment="1">
      <alignment horizontal="center"/>
    </xf>
    <xf numFmtId="0" fontId="3" fillId="0" borderId="0" xfId="0" applyFont="1"/>
    <xf numFmtId="0" fontId="0" fillId="0" borderId="0" xfId="0" applyAlignment="1">
      <alignment horizontal="center"/>
    </xf>
    <xf numFmtId="0" fontId="9" fillId="0" borderId="0" xfId="0" applyFont="1" applyAlignment="1">
      <alignment horizontal="center"/>
    </xf>
    <xf numFmtId="0" fontId="3" fillId="0" borderId="0" xfId="0" applyFont="1" applyAlignment="1">
      <alignment horizontal="center"/>
    </xf>
    <xf numFmtId="0" fontId="8" fillId="0" borderId="0" xfId="0" applyFont="1" applyAlignment="1">
      <alignment horizontal="right"/>
    </xf>
    <xf numFmtId="0" fontId="12" fillId="0" borderId="0" xfId="0" applyFont="1"/>
    <xf numFmtId="2" fontId="8" fillId="0" borderId="0" xfId="0" applyNumberFormat="1" applyFont="1"/>
    <xf numFmtId="0" fontId="5" fillId="0" borderId="0" xfId="0" applyFont="1"/>
    <xf numFmtId="0" fontId="0" fillId="3" borderId="0" xfId="0" applyFill="1"/>
    <xf numFmtId="0" fontId="12" fillId="3" borderId="0" xfId="0" applyFont="1" applyFill="1"/>
    <xf numFmtId="0" fontId="0" fillId="0" borderId="0" xfId="0" applyAlignment="1">
      <alignment horizontal="left"/>
    </xf>
    <xf numFmtId="0" fontId="0" fillId="0" borderId="0" xfId="0" applyAlignment="1">
      <alignment horizontal="right"/>
    </xf>
    <xf numFmtId="2" fontId="0" fillId="0" borderId="0" xfId="0" applyNumberFormat="1"/>
    <xf numFmtId="0" fontId="0" fillId="0" borderId="1" xfId="0" applyBorder="1" applyAlignment="1">
      <alignment horizontal="center"/>
    </xf>
    <xf numFmtId="0" fontId="3" fillId="2" borderId="1" xfId="0" applyFont="1" applyFill="1" applyBorder="1" applyAlignment="1">
      <alignment horizontal="center" vertical="center"/>
    </xf>
    <xf numFmtId="9" fontId="3" fillId="2" borderId="1" xfId="0" applyNumberFormat="1" applyFont="1" applyFill="1" applyBorder="1" applyAlignment="1">
      <alignment horizontal="center"/>
    </xf>
    <xf numFmtId="0" fontId="3" fillId="0" borderId="1" xfId="0" applyFont="1" applyBorder="1" applyAlignment="1">
      <alignment horizontal="center"/>
    </xf>
    <xf numFmtId="0" fontId="10" fillId="0" borderId="1" xfId="0" applyFont="1" applyBorder="1" applyAlignment="1">
      <alignment horizontal="center"/>
    </xf>
    <xf numFmtId="0" fontId="9" fillId="0" borderId="1" xfId="0" applyFont="1" applyBorder="1" applyAlignment="1">
      <alignment horizontal="center"/>
    </xf>
    <xf numFmtId="0" fontId="3" fillId="2" borderId="1" xfId="0" applyFont="1" applyFill="1" applyBorder="1"/>
    <xf numFmtId="0" fontId="0" fillId="0" borderId="1" xfId="0" applyBorder="1"/>
    <xf numFmtId="0" fontId="3" fillId="2" borderId="3" xfId="0" applyFont="1" applyFill="1" applyBorder="1" applyAlignment="1">
      <alignment horizontal="center" vertical="center"/>
    </xf>
    <xf numFmtId="0" fontId="3" fillId="0" borderId="3" xfId="0" applyFont="1" applyBorder="1" applyAlignment="1">
      <alignment horizontal="center"/>
    </xf>
    <xf numFmtId="0" fontId="8" fillId="2" borderId="1" xfId="0" applyFont="1" applyFill="1" applyBorder="1"/>
    <xf numFmtId="0" fontId="5" fillId="2" borderId="1" xfId="0" applyFont="1" applyFill="1" applyBorder="1"/>
    <xf numFmtId="0" fontId="3" fillId="0" borderId="1" xfId="0" applyFont="1" applyBorder="1"/>
    <xf numFmtId="0" fontId="8" fillId="0" borderId="0" xfId="12" applyAlignment="1">
      <alignment vertical="center"/>
    </xf>
    <xf numFmtId="0" fontId="18" fillId="0" borderId="4" xfId="12" applyFont="1" applyBorder="1" applyAlignment="1">
      <alignment vertical="center" wrapText="1"/>
    </xf>
    <xf numFmtId="0" fontId="18" fillId="0" borderId="5" xfId="12" applyFont="1" applyBorder="1" applyAlignment="1">
      <alignment horizontal="center" vertical="center" wrapText="1"/>
    </xf>
    <xf numFmtId="0" fontId="19" fillId="0" borderId="6" xfId="12" applyFont="1" applyBorder="1" applyAlignment="1">
      <alignment horizontal="center" vertical="center" wrapText="1"/>
    </xf>
    <xf numFmtId="0" fontId="19" fillId="0" borderId="7" xfId="12" applyFont="1" applyBorder="1" applyAlignment="1">
      <alignment horizontal="center" vertical="center" wrapText="1"/>
    </xf>
    <xf numFmtId="0" fontId="18" fillId="0" borderId="0" xfId="12" applyFont="1" applyAlignment="1">
      <alignment horizontal="center" vertical="center" wrapText="1"/>
    </xf>
    <xf numFmtId="0" fontId="19" fillId="0" borderId="0" xfId="12" applyFont="1" applyAlignment="1">
      <alignment horizontal="center" vertical="center" wrapText="1"/>
    </xf>
    <xf numFmtId="0" fontId="8" fillId="0" borderId="0" xfId="0" applyFont="1"/>
    <xf numFmtId="0" fontId="8" fillId="0" borderId="0" xfId="0" applyFont="1" applyAlignment="1">
      <alignment vertical="center"/>
    </xf>
    <xf numFmtId="0" fontId="21" fillId="0" borderId="0" xfId="0" applyFont="1" applyAlignment="1">
      <alignment vertical="center"/>
    </xf>
    <xf numFmtId="0" fontId="5" fillId="2" borderId="1" xfId="0" applyFont="1" applyFill="1" applyBorder="1" applyAlignment="1">
      <alignment horizontal="center" vertical="center"/>
    </xf>
    <xf numFmtId="0" fontId="3" fillId="2" borderId="1" xfId="0" applyFont="1" applyFill="1" applyBorder="1" applyAlignment="1">
      <alignment horizontal="center"/>
    </xf>
    <xf numFmtId="0" fontId="22" fillId="0" borderId="0" xfId="0" applyFont="1"/>
    <xf numFmtId="2" fontId="22" fillId="0" borderId="0" xfId="0" applyNumberFormat="1" applyFont="1"/>
    <xf numFmtId="0" fontId="23" fillId="0" borderId="0" xfId="0" applyFont="1"/>
    <xf numFmtId="0" fontId="24" fillId="0" borderId="0" xfId="0" applyFont="1"/>
    <xf numFmtId="0" fontId="25" fillId="0" borderId="0" xfId="0" applyFont="1"/>
    <xf numFmtId="0" fontId="26" fillId="0" borderId="0" xfId="0" applyFont="1"/>
    <xf numFmtId="0" fontId="27" fillId="0" borderId="0" xfId="0" applyFont="1" applyAlignment="1">
      <alignment horizontal="right"/>
    </xf>
    <xf numFmtId="0" fontId="22" fillId="0" borderId="0" xfId="0" applyFont="1" applyAlignment="1">
      <alignment horizontal="right"/>
    </xf>
    <xf numFmtId="176" fontId="8" fillId="0" borderId="0" xfId="0" applyNumberFormat="1" applyFont="1" applyAlignment="1">
      <alignment horizontal="right"/>
    </xf>
    <xf numFmtId="0" fontId="28" fillId="0" borderId="0" xfId="0" applyFont="1"/>
    <xf numFmtId="0" fontId="27" fillId="0" borderId="0" xfId="0" applyFont="1"/>
    <xf numFmtId="0" fontId="13" fillId="0" borderId="0" xfId="0" applyFont="1"/>
    <xf numFmtId="0" fontId="4" fillId="3" borderId="0" xfId="0" applyFont="1" applyFill="1"/>
    <xf numFmtId="0" fontId="29" fillId="0" borderId="0" xfId="0" applyFont="1"/>
    <xf numFmtId="0" fontId="30" fillId="0" borderId="0" xfId="0" applyFont="1" applyAlignment="1">
      <alignment horizontal="right"/>
    </xf>
    <xf numFmtId="0" fontId="31" fillId="0" borderId="0" xfId="0" applyFont="1"/>
    <xf numFmtId="0" fontId="14" fillId="0" borderId="0" xfId="0" applyFont="1" applyAlignment="1">
      <alignment horizontal="right"/>
    </xf>
    <xf numFmtId="0" fontId="32" fillId="0" borderId="0" xfId="0" applyFont="1"/>
    <xf numFmtId="1" fontId="32" fillId="0" borderId="0" xfId="0" applyNumberFormat="1" applyFont="1"/>
    <xf numFmtId="0" fontId="33" fillId="0" borderId="0" xfId="0" applyFont="1"/>
    <xf numFmtId="0" fontId="34" fillId="3" borderId="0" xfId="0" applyFont="1" applyFill="1"/>
    <xf numFmtId="2" fontId="8" fillId="4" borderId="1" xfId="0" applyNumberFormat="1" applyFont="1" applyFill="1" applyBorder="1" applyAlignment="1">
      <alignment horizontal="center"/>
    </xf>
    <xf numFmtId="0" fontId="8" fillId="4" borderId="1" xfId="0" applyFont="1" applyFill="1" applyBorder="1" applyAlignment="1">
      <alignment horizontal="center"/>
    </xf>
    <xf numFmtId="0" fontId="11" fillId="0" borderId="1" xfId="0" applyFont="1" applyBorder="1"/>
    <xf numFmtId="0" fontId="0" fillId="0" borderId="1" xfId="0" applyBorder="1" applyAlignment="1">
      <alignment horizontal="left"/>
    </xf>
    <xf numFmtId="0" fontId="11" fillId="2" borderId="1" xfId="0" applyFont="1" applyFill="1" applyBorder="1"/>
    <xf numFmtId="0" fontId="18" fillId="0" borderId="1" xfId="12" applyFont="1" applyBorder="1" applyAlignment="1">
      <alignment vertical="center"/>
    </xf>
    <xf numFmtId="0" fontId="18" fillId="0" borderId="1" xfId="12" applyFont="1" applyBorder="1" applyAlignment="1">
      <alignment horizontal="center" vertical="center"/>
    </xf>
    <xf numFmtId="0" fontId="8" fillId="0" borderId="0" xfId="0" applyFont="1" applyAlignment="1">
      <alignment horizontal="left"/>
    </xf>
    <xf numFmtId="178" fontId="18" fillId="0" borderId="4" xfId="12" applyNumberFormat="1" applyFont="1" applyBorder="1" applyAlignment="1">
      <alignment horizontal="center" vertical="center" wrapText="1"/>
    </xf>
    <xf numFmtId="17" fontId="18" fillId="0" borderId="1" xfId="12" quotePrefix="1" applyNumberFormat="1" applyFont="1" applyBorder="1" applyAlignment="1">
      <alignment horizontal="center" vertical="center"/>
    </xf>
    <xf numFmtId="49" fontId="18" fillId="0" borderId="1" xfId="12" quotePrefix="1" applyNumberFormat="1" applyFont="1" applyBorder="1" applyAlignment="1">
      <alignment horizontal="center" vertical="center"/>
    </xf>
    <xf numFmtId="0" fontId="5" fillId="2" borderId="1" xfId="0" applyFont="1" applyFill="1" applyBorder="1" applyAlignment="1">
      <alignment wrapText="1"/>
    </xf>
    <xf numFmtId="0" fontId="38" fillId="3" borderId="0" xfId="0" applyFont="1" applyFill="1"/>
    <xf numFmtId="0" fontId="29" fillId="3" borderId="0" xfId="0" applyFont="1" applyFill="1"/>
    <xf numFmtId="0" fontId="39" fillId="2" borderId="1" xfId="0" applyFont="1" applyFill="1" applyBorder="1" applyAlignment="1">
      <alignment wrapText="1"/>
    </xf>
    <xf numFmtId="0" fontId="3" fillId="2" borderId="1" xfId="0" applyFont="1" applyFill="1" applyBorder="1" applyAlignment="1">
      <alignment wrapText="1"/>
    </xf>
    <xf numFmtId="0" fontId="0" fillId="0" borderId="0" xfId="0" applyAlignment="1">
      <alignment vertical="center"/>
    </xf>
    <xf numFmtId="0" fontId="13" fillId="3" borderId="0" xfId="0" applyFont="1" applyFill="1"/>
    <xf numFmtId="0" fontId="18" fillId="0" borderId="1" xfId="12" applyFont="1" applyBorder="1" applyAlignment="1">
      <alignment vertical="center" wrapText="1"/>
    </xf>
    <xf numFmtId="0" fontId="20" fillId="0" borderId="0" xfId="0" applyFont="1"/>
    <xf numFmtId="0" fontId="41" fillId="0" borderId="0" xfId="0" applyFont="1"/>
    <xf numFmtId="49" fontId="43" fillId="0" borderId="0" xfId="0" applyNumberFormat="1" applyFont="1" applyAlignment="1">
      <alignment vertical="center"/>
    </xf>
    <xf numFmtId="0" fontId="41" fillId="0" borderId="0" xfId="0" applyFont="1" applyAlignment="1">
      <alignment vertical="center"/>
    </xf>
    <xf numFmtId="0" fontId="43" fillId="0" borderId="0" xfId="0" applyFont="1"/>
    <xf numFmtId="0" fontId="43" fillId="0" borderId="0" xfId="0" applyFont="1" applyAlignment="1">
      <alignment horizontal="left" vertical="center"/>
    </xf>
    <xf numFmtId="0" fontId="42" fillId="0" borderId="0" xfId="0" applyFont="1" applyAlignment="1">
      <alignment vertical="center"/>
    </xf>
    <xf numFmtId="0" fontId="41" fillId="0" borderId="0" xfId="0" applyFont="1" applyAlignment="1">
      <alignment horizontal="left"/>
    </xf>
    <xf numFmtId="0" fontId="43" fillId="0" borderId="0" xfId="0" applyFont="1" applyAlignment="1">
      <alignment horizontal="left"/>
    </xf>
    <xf numFmtId="0" fontId="21" fillId="0" borderId="0" xfId="12" applyFont="1" applyAlignment="1">
      <alignment vertical="center"/>
    </xf>
    <xf numFmtId="0" fontId="11" fillId="0" borderId="8" xfId="0" applyFont="1" applyBorder="1"/>
    <xf numFmtId="0" fontId="5" fillId="0" borderId="1" xfId="0" applyFont="1" applyBorder="1" applyAlignment="1">
      <alignment horizontal="center"/>
    </xf>
    <xf numFmtId="0" fontId="5" fillId="0" borderId="1" xfId="0" applyFont="1" applyBorder="1"/>
    <xf numFmtId="0" fontId="45" fillId="2" borderId="1" xfId="0" applyFont="1" applyFill="1" applyBorder="1"/>
    <xf numFmtId="49" fontId="18" fillId="0" borderId="1" xfId="12" applyNumberFormat="1" applyFont="1" applyBorder="1" applyAlignment="1">
      <alignment horizontal="center" vertical="center"/>
    </xf>
    <xf numFmtId="0" fontId="3" fillId="0" borderId="0" xfId="0" applyFont="1" applyAlignment="1">
      <alignment wrapText="1"/>
    </xf>
    <xf numFmtId="2" fontId="8" fillId="6" borderId="1" xfId="0" applyNumberFormat="1" applyFont="1" applyFill="1" applyBorder="1" applyAlignment="1">
      <alignment horizontal="center"/>
    </xf>
    <xf numFmtId="0" fontId="1" fillId="3" borderId="0" xfId="0" applyFont="1" applyFill="1"/>
    <xf numFmtId="0" fontId="8" fillId="6" borderId="1" xfId="0" applyFont="1" applyFill="1" applyBorder="1" applyAlignment="1">
      <alignment horizontal="center"/>
    </xf>
    <xf numFmtId="0" fontId="1" fillId="0" borderId="1" xfId="0" applyFont="1" applyBorder="1" applyAlignment="1">
      <alignment horizontal="center"/>
    </xf>
    <xf numFmtId="0" fontId="1" fillId="0" borderId="1" xfId="0" applyFont="1" applyBorder="1"/>
    <xf numFmtId="0" fontId="1" fillId="0" borderId="0" xfId="0" applyFont="1"/>
    <xf numFmtId="0" fontId="1" fillId="0" borderId="0" xfId="0" applyFont="1" applyAlignment="1">
      <alignment horizontal="center"/>
    </xf>
    <xf numFmtId="0" fontId="5" fillId="7" borderId="1" xfId="0" applyFont="1" applyFill="1" applyBorder="1"/>
    <xf numFmtId="0" fontId="1" fillId="0" borderId="1" xfId="0" applyFont="1" applyBorder="1" applyAlignment="1">
      <alignment horizontal="center" vertical="center"/>
    </xf>
    <xf numFmtId="0" fontId="1" fillId="0" borderId="0" xfId="0" applyFont="1" applyAlignment="1">
      <alignment horizontal="right"/>
    </xf>
    <xf numFmtId="0" fontId="1" fillId="0" borderId="0" xfId="0" applyFont="1" applyAlignment="1">
      <alignment wrapText="1"/>
    </xf>
    <xf numFmtId="2" fontId="1" fillId="0" borderId="0" xfId="0" applyNumberFormat="1" applyFont="1"/>
    <xf numFmtId="0" fontId="48" fillId="0" borderId="0" xfId="0" applyFont="1"/>
    <xf numFmtId="0" fontId="46" fillId="0" borderId="0" xfId="0" applyFont="1" applyAlignment="1">
      <alignment horizontal="center"/>
    </xf>
    <xf numFmtId="0" fontId="1" fillId="0" borderId="0" xfId="0" applyFont="1" applyAlignment="1">
      <alignment horizontal="left"/>
    </xf>
    <xf numFmtId="2" fontId="0" fillId="0" borderId="0" xfId="0" applyNumberFormat="1" applyAlignment="1">
      <alignment horizontal="center"/>
    </xf>
    <xf numFmtId="0" fontId="10" fillId="8" borderId="1" xfId="0" applyFont="1" applyFill="1" applyBorder="1" applyAlignment="1">
      <alignment horizontal="center"/>
    </xf>
    <xf numFmtId="0" fontId="0" fillId="9" borderId="0" xfId="0" applyFill="1" applyAlignment="1">
      <alignment horizontal="center"/>
    </xf>
    <xf numFmtId="0" fontId="49" fillId="0" borderId="0" xfId="0" applyFont="1" applyAlignment="1">
      <alignment horizontal="center"/>
    </xf>
    <xf numFmtId="0" fontId="50" fillId="0" borderId="0" xfId="0" applyFont="1"/>
    <xf numFmtId="0" fontId="0" fillId="0" borderId="0" xfId="0" applyAlignment="1">
      <alignment horizontal="left" wrapText="1"/>
    </xf>
    <xf numFmtId="0" fontId="45" fillId="0" borderId="0" xfId="0" applyFont="1"/>
    <xf numFmtId="0" fontId="18" fillId="0" borderId="13" xfId="12" applyFont="1" applyBorder="1" applyAlignment="1">
      <alignment horizontal="center" vertical="center"/>
    </xf>
    <xf numFmtId="0" fontId="18" fillId="0" borderId="14" xfId="12" applyFont="1" applyBorder="1" applyAlignment="1">
      <alignment horizontal="center" vertical="center"/>
    </xf>
    <xf numFmtId="0" fontId="8" fillId="0" borderId="14" xfId="12" applyBorder="1" applyAlignment="1">
      <alignment vertical="center" wrapText="1"/>
    </xf>
    <xf numFmtId="17" fontId="18" fillId="0" borderId="14" xfId="12" applyNumberFormat="1" applyFont="1" applyBorder="1" applyAlignment="1">
      <alignment horizontal="center" vertical="center"/>
    </xf>
    <xf numFmtId="0" fontId="41" fillId="0" borderId="0" xfId="0" applyFont="1" applyAlignment="1">
      <alignment horizontal="left" wrapText="1"/>
    </xf>
    <xf numFmtId="0" fontId="8" fillId="0" borderId="0" xfId="0" applyFont="1" applyAlignment="1">
      <alignment horizontal="left" wrapText="1"/>
    </xf>
    <xf numFmtId="0" fontId="0" fillId="0" borderId="0" xfId="0" applyAlignment="1">
      <alignment horizontal="left" wrapText="1"/>
    </xf>
    <xf numFmtId="0" fontId="8" fillId="0" borderId="0" xfId="0" applyFont="1" applyAlignment="1">
      <alignment wrapText="1"/>
    </xf>
    <xf numFmtId="0" fontId="3" fillId="2" borderId="2" xfId="0" applyFont="1" applyFill="1" applyBorder="1" applyAlignment="1">
      <alignment horizontal="center" vertical="center"/>
    </xf>
    <xf numFmtId="0" fontId="0" fillId="2" borderId="1" xfId="0" applyFill="1" applyBorder="1" applyAlignment="1">
      <alignment horizontal="center" vertical="center"/>
    </xf>
    <xf numFmtId="0" fontId="3" fillId="2" borderId="1" xfId="0" applyFont="1" applyFill="1" applyBorder="1" applyAlignment="1">
      <alignment horizontal="center"/>
    </xf>
    <xf numFmtId="0" fontId="5" fillId="2" borderId="1" xfId="0" applyFont="1" applyFill="1" applyBorder="1" applyAlignment="1">
      <alignment horizontal="center" vertical="center" wrapText="1"/>
    </xf>
    <xf numFmtId="0" fontId="0" fillId="0" borderId="1" xfId="0" applyBorder="1" applyAlignment="1">
      <alignment horizontal="center" vertical="center" wrapText="1"/>
    </xf>
    <xf numFmtId="0" fontId="3" fillId="2" borderId="1" xfId="0" applyFont="1" applyFill="1" applyBorder="1" applyAlignment="1">
      <alignment horizontal="center" vertical="center"/>
    </xf>
    <xf numFmtId="0" fontId="5" fillId="2" borderId="9" xfId="0" applyFont="1" applyFill="1" applyBorder="1" applyAlignment="1">
      <alignment horizontal="center" vertical="center" wrapText="1"/>
    </xf>
    <xf numFmtId="0" fontId="0" fillId="0" borderId="8" xfId="0" applyBorder="1" applyAlignment="1">
      <alignment horizontal="center" vertical="center" wrapText="1"/>
    </xf>
    <xf numFmtId="0" fontId="46" fillId="0" borderId="10" xfId="0" applyFont="1" applyBorder="1" applyAlignment="1">
      <alignment horizontal="center" vertical="center"/>
    </xf>
    <xf numFmtId="0" fontId="5" fillId="0" borderId="10" xfId="0" applyFont="1" applyBorder="1" applyAlignment="1">
      <alignment horizontal="left"/>
    </xf>
    <xf numFmtId="0" fontId="5" fillId="0" borderId="0" xfId="0" applyFont="1" applyAlignment="1">
      <alignment horizontal="left"/>
    </xf>
    <xf numFmtId="0" fontId="5" fillId="0" borderId="11" xfId="0" applyFont="1" applyBorder="1" applyAlignment="1">
      <alignment horizontal="left"/>
    </xf>
    <xf numFmtId="0" fontId="5" fillId="0" borderId="12" xfId="0" applyFont="1" applyBorder="1" applyAlignment="1">
      <alignment horizontal="left"/>
    </xf>
    <xf numFmtId="0" fontId="1" fillId="2" borderId="1" xfId="0" applyFont="1" applyFill="1" applyBorder="1" applyAlignment="1">
      <alignment horizontal="center" vertical="center"/>
    </xf>
    <xf numFmtId="0" fontId="1" fillId="0" borderId="1" xfId="0" applyFont="1" applyBorder="1" applyAlignment="1">
      <alignment horizontal="center" vertical="center" wrapText="1"/>
    </xf>
    <xf numFmtId="0" fontId="1" fillId="2" borderId="1" xfId="0" applyFont="1" applyFill="1" applyBorder="1" applyAlignment="1">
      <alignment horizontal="center" vertical="center" wrapText="1"/>
    </xf>
    <xf numFmtId="0" fontId="5" fillId="8" borderId="1" xfId="0" applyFont="1" applyFill="1" applyBorder="1" applyAlignment="1">
      <alignment horizontal="center" vertical="center" wrapText="1"/>
    </xf>
    <xf numFmtId="0" fontId="1" fillId="8" borderId="1" xfId="0" applyFont="1" applyFill="1" applyBorder="1" applyAlignment="1">
      <alignment horizontal="center" vertical="center" wrapText="1"/>
    </xf>
  </cellXfs>
  <cellStyles count="93">
    <cellStyle name="Good 2" xfId="14" xr:uid="{00000000-0005-0000-0000-000000000000}"/>
    <cellStyle name="Normal 10" xfId="2" xr:uid="{00000000-0005-0000-0000-000002000000}"/>
    <cellStyle name="Normal 11" xfId="3" xr:uid="{00000000-0005-0000-0000-000003000000}"/>
    <cellStyle name="Normal 12" xfId="4" xr:uid="{00000000-0005-0000-0000-000004000000}"/>
    <cellStyle name="Normal 12 10" xfId="15" xr:uid="{00000000-0005-0000-0000-000005000000}"/>
    <cellStyle name="Normal 121" xfId="16" xr:uid="{00000000-0005-0000-0000-000006000000}"/>
    <cellStyle name="Normal 13" xfId="12" xr:uid="{00000000-0005-0000-0000-000007000000}"/>
    <cellStyle name="Normal 14" xfId="13" xr:uid="{00000000-0005-0000-0000-000008000000}"/>
    <cellStyle name="Normal 145" xfId="17" xr:uid="{00000000-0005-0000-0000-000009000000}"/>
    <cellStyle name="Normal 146" xfId="18" xr:uid="{00000000-0005-0000-0000-00000A000000}"/>
    <cellStyle name="Normal 147" xfId="19" xr:uid="{00000000-0005-0000-0000-00000B000000}"/>
    <cellStyle name="Normal 148" xfId="20" xr:uid="{00000000-0005-0000-0000-00000C000000}"/>
    <cellStyle name="Normal 15" xfId="89" xr:uid="{00000000-0005-0000-0000-00000D000000}"/>
    <cellStyle name="Normal 15 2" xfId="92" xr:uid="{00000000-0005-0000-0000-00000E000000}"/>
    <cellStyle name="Normal 150" xfId="21" xr:uid="{00000000-0005-0000-0000-00000F000000}"/>
    <cellStyle name="Normal 153" xfId="22" xr:uid="{00000000-0005-0000-0000-000010000000}"/>
    <cellStyle name="Normal 158" xfId="23" xr:uid="{00000000-0005-0000-0000-000011000000}"/>
    <cellStyle name="Normal 159" xfId="24" xr:uid="{00000000-0005-0000-0000-000012000000}"/>
    <cellStyle name="Normal 16" xfId="91" xr:uid="{00000000-0005-0000-0000-000013000000}"/>
    <cellStyle name="Normal 164" xfId="25" xr:uid="{00000000-0005-0000-0000-000014000000}"/>
    <cellStyle name="Normal 165" xfId="26" xr:uid="{00000000-0005-0000-0000-000015000000}"/>
    <cellStyle name="Normal 166" xfId="27" xr:uid="{00000000-0005-0000-0000-000016000000}"/>
    <cellStyle name="Normal 167" xfId="28" xr:uid="{00000000-0005-0000-0000-000017000000}"/>
    <cellStyle name="Normal 168" xfId="29" xr:uid="{00000000-0005-0000-0000-000018000000}"/>
    <cellStyle name="Normal 169" xfId="30" xr:uid="{00000000-0005-0000-0000-000019000000}"/>
    <cellStyle name="Normal 170" xfId="31" xr:uid="{00000000-0005-0000-0000-00001A000000}"/>
    <cellStyle name="Normal 171" xfId="32" xr:uid="{00000000-0005-0000-0000-00001B000000}"/>
    <cellStyle name="Normal 172" xfId="33" xr:uid="{00000000-0005-0000-0000-00001C000000}"/>
    <cellStyle name="Normal 173" xfId="34" xr:uid="{00000000-0005-0000-0000-00001D000000}"/>
    <cellStyle name="Normal 174" xfId="35" xr:uid="{00000000-0005-0000-0000-00001E000000}"/>
    <cellStyle name="Normal 175" xfId="36" xr:uid="{00000000-0005-0000-0000-00001F000000}"/>
    <cellStyle name="Normal 176" xfId="37" xr:uid="{00000000-0005-0000-0000-000020000000}"/>
    <cellStyle name="Normal 177" xfId="38" xr:uid="{00000000-0005-0000-0000-000021000000}"/>
    <cellStyle name="Normal 178" xfId="39" xr:uid="{00000000-0005-0000-0000-000022000000}"/>
    <cellStyle name="Normal 179" xfId="40" xr:uid="{00000000-0005-0000-0000-000023000000}"/>
    <cellStyle name="Normal 180" xfId="41" xr:uid="{00000000-0005-0000-0000-000024000000}"/>
    <cellStyle name="Normal 181" xfId="42" xr:uid="{00000000-0005-0000-0000-000025000000}"/>
    <cellStyle name="Normal 182" xfId="43" xr:uid="{00000000-0005-0000-0000-000026000000}"/>
    <cellStyle name="Normal 183" xfId="44" xr:uid="{00000000-0005-0000-0000-000027000000}"/>
    <cellStyle name="Normal 184" xfId="45" xr:uid="{00000000-0005-0000-0000-000028000000}"/>
    <cellStyle name="Normal 185" xfId="46" xr:uid="{00000000-0005-0000-0000-000029000000}"/>
    <cellStyle name="Normal 186" xfId="47" xr:uid="{00000000-0005-0000-0000-00002A000000}"/>
    <cellStyle name="Normal 187" xfId="48" xr:uid="{00000000-0005-0000-0000-00002B000000}"/>
    <cellStyle name="Normal 188" xfId="49" xr:uid="{00000000-0005-0000-0000-00002C000000}"/>
    <cellStyle name="Normal 189" xfId="50" xr:uid="{00000000-0005-0000-0000-00002D000000}"/>
    <cellStyle name="Normal 190" xfId="51" xr:uid="{00000000-0005-0000-0000-00002E000000}"/>
    <cellStyle name="Normal 191" xfId="52" xr:uid="{00000000-0005-0000-0000-00002F000000}"/>
    <cellStyle name="Normal 192" xfId="53" xr:uid="{00000000-0005-0000-0000-000030000000}"/>
    <cellStyle name="Normal 193" xfId="54" xr:uid="{00000000-0005-0000-0000-000031000000}"/>
    <cellStyle name="Normal 194" xfId="55" xr:uid="{00000000-0005-0000-0000-000032000000}"/>
    <cellStyle name="Normal 195" xfId="56" xr:uid="{00000000-0005-0000-0000-000033000000}"/>
    <cellStyle name="Normal 196" xfId="57" xr:uid="{00000000-0005-0000-0000-000034000000}"/>
    <cellStyle name="Normal 197" xfId="58" xr:uid="{00000000-0005-0000-0000-000035000000}"/>
    <cellStyle name="Normal 198" xfId="59" xr:uid="{00000000-0005-0000-0000-000036000000}"/>
    <cellStyle name="Normal 199" xfId="60" xr:uid="{00000000-0005-0000-0000-000037000000}"/>
    <cellStyle name="Normal 2" xfId="1" xr:uid="{00000000-0005-0000-0000-000038000000}"/>
    <cellStyle name="Normal 2 2" xfId="90" xr:uid="{00000000-0005-0000-0000-000039000000}"/>
    <cellStyle name="Normal 2 2 2" xfId="61" xr:uid="{00000000-0005-0000-0000-00003A000000}"/>
    <cellStyle name="Normal 2 3" xfId="62" xr:uid="{00000000-0005-0000-0000-00003B000000}"/>
    <cellStyle name="Normal 200" xfId="63" xr:uid="{00000000-0005-0000-0000-00003C000000}"/>
    <cellStyle name="Normal 201" xfId="64" xr:uid="{00000000-0005-0000-0000-00003D000000}"/>
    <cellStyle name="Normal 202" xfId="65" xr:uid="{00000000-0005-0000-0000-00003E000000}"/>
    <cellStyle name="Normal 203" xfId="66" xr:uid="{00000000-0005-0000-0000-00003F000000}"/>
    <cellStyle name="Normal 204" xfId="67" xr:uid="{00000000-0005-0000-0000-000040000000}"/>
    <cellStyle name="Normal 205" xfId="68" xr:uid="{00000000-0005-0000-0000-000041000000}"/>
    <cellStyle name="Normal 206" xfId="69" xr:uid="{00000000-0005-0000-0000-000042000000}"/>
    <cellStyle name="Normal 207" xfId="70" xr:uid="{00000000-0005-0000-0000-000043000000}"/>
    <cellStyle name="Normal 208" xfId="71" xr:uid="{00000000-0005-0000-0000-000044000000}"/>
    <cellStyle name="Normal 209" xfId="72" xr:uid="{00000000-0005-0000-0000-000045000000}"/>
    <cellStyle name="Normal 210" xfId="73" xr:uid="{00000000-0005-0000-0000-000046000000}"/>
    <cellStyle name="Normal 211" xfId="74" xr:uid="{00000000-0005-0000-0000-000047000000}"/>
    <cellStyle name="Normal 212" xfId="75" xr:uid="{00000000-0005-0000-0000-000048000000}"/>
    <cellStyle name="Normal 3" xfId="5" xr:uid="{00000000-0005-0000-0000-000049000000}"/>
    <cellStyle name="Normal 4" xfId="6" xr:uid="{00000000-0005-0000-0000-00004A000000}"/>
    <cellStyle name="Normal 5" xfId="7" xr:uid="{00000000-0005-0000-0000-00004B000000}"/>
    <cellStyle name="Normal 51" xfId="76" xr:uid="{00000000-0005-0000-0000-00004C000000}"/>
    <cellStyle name="Normal 6" xfId="8" xr:uid="{00000000-0005-0000-0000-00004D000000}"/>
    <cellStyle name="Normal 7" xfId="9" xr:uid="{00000000-0005-0000-0000-00004E000000}"/>
    <cellStyle name="Normal 7 16" xfId="77" xr:uid="{00000000-0005-0000-0000-00004F000000}"/>
    <cellStyle name="Normal 7 18" xfId="78" xr:uid="{00000000-0005-0000-0000-000050000000}"/>
    <cellStyle name="Normal 7 2" xfId="79" xr:uid="{00000000-0005-0000-0000-000051000000}"/>
    <cellStyle name="Normal 7 27" xfId="80" xr:uid="{00000000-0005-0000-0000-000052000000}"/>
    <cellStyle name="Normal 7 29" xfId="81" xr:uid="{00000000-0005-0000-0000-000053000000}"/>
    <cellStyle name="Normal 7 3" xfId="82" xr:uid="{00000000-0005-0000-0000-000054000000}"/>
    <cellStyle name="Normal 7 4" xfId="83" xr:uid="{00000000-0005-0000-0000-000055000000}"/>
    <cellStyle name="Normal 7 8" xfId="84" xr:uid="{00000000-0005-0000-0000-000056000000}"/>
    <cellStyle name="Normal 7 8 2 2 2 3" xfId="85" xr:uid="{00000000-0005-0000-0000-000057000000}"/>
    <cellStyle name="Normal 7 8 6" xfId="86" xr:uid="{00000000-0005-0000-0000-000058000000}"/>
    <cellStyle name="Normal 8" xfId="10" xr:uid="{00000000-0005-0000-0000-000059000000}"/>
    <cellStyle name="Normal 9" xfId="11" xr:uid="{00000000-0005-0000-0000-00005A000000}"/>
    <cellStyle name="Normal 95" xfId="87" xr:uid="{00000000-0005-0000-0000-00005B000000}"/>
    <cellStyle name="Normal 96" xfId="88" xr:uid="{00000000-0005-0000-0000-00005C000000}"/>
    <cellStyle name="常规" xfId="0" builtinId="0"/>
  </cellStyles>
  <dxfs count="6">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strike val="0"/>
        <color rgb="FF00B050"/>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A1:E31"/>
  <sheetViews>
    <sheetView workbookViewId="0">
      <selection activeCell="E31" sqref="E31"/>
    </sheetView>
  </sheetViews>
  <sheetFormatPr defaultColWidth="9.140625" defaultRowHeight="10.15" customHeight="1" x14ac:dyDescent="0.2"/>
  <cols>
    <col min="1" max="2" width="3.28515625" style="29" customWidth="1"/>
    <col min="3" max="3" width="9.140625" style="29"/>
    <col min="4" max="4" width="16" style="29" customWidth="1"/>
    <col min="5" max="5" width="84" style="29" customWidth="1"/>
    <col min="6" max="16384" width="9.140625" style="29"/>
  </cols>
  <sheetData>
    <row r="1" spans="1:5" ht="15.95" customHeight="1" x14ac:dyDescent="0.2">
      <c r="A1" s="90" t="s">
        <v>106</v>
      </c>
      <c r="B1" s="90"/>
    </row>
    <row r="2" spans="1:5" ht="10.15" customHeight="1" x14ac:dyDescent="0.2">
      <c r="A2" s="35"/>
      <c r="B2" s="35"/>
      <c r="C2" s="35"/>
      <c r="D2" s="35"/>
    </row>
    <row r="3" spans="1:5" ht="12.95" customHeight="1" thickBot="1" x14ac:dyDescent="0.25">
      <c r="A3" s="34"/>
      <c r="B3" s="34"/>
      <c r="C3" s="33" t="s">
        <v>105</v>
      </c>
      <c r="D3" s="32" t="s">
        <v>104</v>
      </c>
      <c r="E3" s="32" t="s">
        <v>103</v>
      </c>
    </row>
    <row r="4" spans="1:5" ht="10.15" customHeight="1" x14ac:dyDescent="0.2">
      <c r="C4" s="31" t="s">
        <v>102</v>
      </c>
      <c r="D4" s="70">
        <v>41456</v>
      </c>
      <c r="E4" s="30" t="s">
        <v>101</v>
      </c>
    </row>
    <row r="5" spans="1:5" ht="10.15" customHeight="1" x14ac:dyDescent="0.2">
      <c r="C5" s="68" t="s">
        <v>133</v>
      </c>
      <c r="D5" s="71" t="s">
        <v>286</v>
      </c>
      <c r="E5" s="67" t="s">
        <v>134</v>
      </c>
    </row>
    <row r="6" spans="1:5" ht="10.15" customHeight="1" x14ac:dyDescent="0.2">
      <c r="C6" s="68" t="s">
        <v>135</v>
      </c>
      <c r="D6" s="72" t="s">
        <v>287</v>
      </c>
      <c r="E6" s="67" t="s">
        <v>277</v>
      </c>
    </row>
    <row r="7" spans="1:5" ht="10.15" customHeight="1" x14ac:dyDescent="0.2">
      <c r="C7" s="68" t="s">
        <v>186</v>
      </c>
      <c r="D7" s="72" t="s">
        <v>187</v>
      </c>
      <c r="E7" s="67" t="s">
        <v>278</v>
      </c>
    </row>
    <row r="8" spans="1:5" ht="10.15" customHeight="1" x14ac:dyDescent="0.2">
      <c r="C8" s="68" t="s">
        <v>188</v>
      </c>
      <c r="D8" s="72" t="s">
        <v>288</v>
      </c>
      <c r="E8" s="67" t="s">
        <v>279</v>
      </c>
    </row>
    <row r="9" spans="1:5" ht="17.649999999999999" customHeight="1" x14ac:dyDescent="0.2">
      <c r="C9" s="68" t="s">
        <v>189</v>
      </c>
      <c r="D9" s="72" t="s">
        <v>190</v>
      </c>
      <c r="E9" s="80" t="s">
        <v>280</v>
      </c>
    </row>
    <row r="10" spans="1:5" ht="10.15" customHeight="1" x14ac:dyDescent="0.2">
      <c r="C10" s="68" t="s">
        <v>205</v>
      </c>
      <c r="D10" s="72" t="s">
        <v>289</v>
      </c>
      <c r="E10" s="80" t="s">
        <v>206</v>
      </c>
    </row>
    <row r="11" spans="1:5" ht="10.15" customHeight="1" x14ac:dyDescent="0.2">
      <c r="C11" s="68" t="s">
        <v>230</v>
      </c>
      <c r="D11" s="72" t="s">
        <v>290</v>
      </c>
      <c r="E11" s="80" t="s">
        <v>281</v>
      </c>
    </row>
    <row r="12" spans="1:5" ht="10.15" customHeight="1" x14ac:dyDescent="0.2">
      <c r="C12" s="68" t="s">
        <v>234</v>
      </c>
      <c r="D12" s="72" t="s">
        <v>291</v>
      </c>
      <c r="E12" s="80" t="s">
        <v>282</v>
      </c>
    </row>
    <row r="13" spans="1:5" ht="10.15" customHeight="1" x14ac:dyDescent="0.2">
      <c r="C13" s="68" t="s">
        <v>236</v>
      </c>
      <c r="D13" s="72" t="s">
        <v>292</v>
      </c>
      <c r="E13" s="80" t="s">
        <v>283</v>
      </c>
    </row>
    <row r="14" spans="1:5" ht="10.15" customHeight="1" x14ac:dyDescent="0.2">
      <c r="C14" s="68" t="s">
        <v>237</v>
      </c>
      <c r="D14" s="72" t="s">
        <v>238</v>
      </c>
      <c r="E14" s="80" t="s">
        <v>239</v>
      </c>
    </row>
    <row r="15" spans="1:5" ht="10.15" customHeight="1" x14ac:dyDescent="0.2">
      <c r="C15" s="68" t="s">
        <v>240</v>
      </c>
      <c r="D15" s="72" t="s">
        <v>241</v>
      </c>
      <c r="E15" s="80" t="s">
        <v>242</v>
      </c>
    </row>
    <row r="16" spans="1:5" ht="14.85" customHeight="1" x14ac:dyDescent="0.2">
      <c r="C16" s="68" t="s">
        <v>244</v>
      </c>
      <c r="D16" s="72" t="s">
        <v>267</v>
      </c>
      <c r="E16" s="67" t="s">
        <v>268</v>
      </c>
    </row>
    <row r="17" spans="3:5" ht="10.15" customHeight="1" x14ac:dyDescent="0.2">
      <c r="C17" s="68" t="s">
        <v>266</v>
      </c>
      <c r="D17" s="95" t="s">
        <v>269</v>
      </c>
      <c r="E17" s="67" t="s">
        <v>284</v>
      </c>
    </row>
    <row r="18" spans="3:5" ht="21.6" customHeight="1" x14ac:dyDescent="0.2">
      <c r="C18" s="68" t="s">
        <v>272</v>
      </c>
      <c r="D18" s="95" t="s">
        <v>270</v>
      </c>
      <c r="E18" s="80" t="s">
        <v>285</v>
      </c>
    </row>
    <row r="19" spans="3:5" ht="43.15" customHeight="1" x14ac:dyDescent="0.2">
      <c r="C19" s="68" t="s">
        <v>295</v>
      </c>
      <c r="D19" s="72" t="s">
        <v>539</v>
      </c>
      <c r="E19" s="80" t="s">
        <v>540</v>
      </c>
    </row>
    <row r="20" spans="3:5" ht="19.149999999999999" customHeight="1" x14ac:dyDescent="0.2">
      <c r="C20" s="68" t="s">
        <v>541</v>
      </c>
      <c r="D20" s="72" t="s">
        <v>542</v>
      </c>
      <c r="E20" s="80" t="s">
        <v>543</v>
      </c>
    </row>
    <row r="21" spans="3:5" ht="55.15" customHeight="1" x14ac:dyDescent="0.2">
      <c r="C21" s="68" t="s">
        <v>549</v>
      </c>
      <c r="D21" s="72" t="s">
        <v>583</v>
      </c>
      <c r="E21" s="80" t="s">
        <v>578</v>
      </c>
    </row>
    <row r="22" spans="3:5" ht="27.4" customHeight="1" x14ac:dyDescent="0.2">
      <c r="C22" s="68" t="s">
        <v>585</v>
      </c>
      <c r="D22" s="72" t="s">
        <v>586</v>
      </c>
      <c r="E22" s="80" t="s">
        <v>588</v>
      </c>
    </row>
    <row r="23" spans="3:5" ht="21.2" customHeight="1" x14ac:dyDescent="0.2">
      <c r="C23" s="68" t="s">
        <v>537</v>
      </c>
      <c r="D23" s="72" t="s">
        <v>591</v>
      </c>
      <c r="E23" s="80" t="s">
        <v>593</v>
      </c>
    </row>
    <row r="24" spans="3:5" ht="21.2" customHeight="1" x14ac:dyDescent="0.2">
      <c r="C24" s="68" t="s">
        <v>609</v>
      </c>
      <c r="D24" s="72" t="s">
        <v>608</v>
      </c>
      <c r="E24" s="80" t="s">
        <v>607</v>
      </c>
    </row>
    <row r="25" spans="3:5" ht="21.2" customHeight="1" x14ac:dyDescent="0.2">
      <c r="C25" s="68" t="s">
        <v>610</v>
      </c>
      <c r="D25" s="72" t="s">
        <v>612</v>
      </c>
      <c r="E25" s="80" t="s">
        <v>611</v>
      </c>
    </row>
    <row r="26" spans="3:5" ht="63.4" customHeight="1" x14ac:dyDescent="0.2">
      <c r="C26" s="68" t="s">
        <v>614</v>
      </c>
      <c r="D26" s="72" t="s">
        <v>619</v>
      </c>
      <c r="E26" s="80" t="s">
        <v>624</v>
      </c>
    </row>
    <row r="27" spans="3:5" ht="11.65" customHeight="1" x14ac:dyDescent="0.2">
      <c r="C27" s="119" t="s">
        <v>625</v>
      </c>
      <c r="D27" s="119" t="s">
        <v>626</v>
      </c>
      <c r="E27" s="80" t="s">
        <v>627</v>
      </c>
    </row>
    <row r="28" spans="3:5" ht="11.65" customHeight="1" x14ac:dyDescent="0.2">
      <c r="C28" s="120" t="s">
        <v>628</v>
      </c>
      <c r="D28" s="120" t="s">
        <v>629</v>
      </c>
      <c r="E28" s="80" t="s">
        <v>630</v>
      </c>
    </row>
    <row r="29" spans="3:5" ht="30.75" customHeight="1" x14ac:dyDescent="0.2">
      <c r="C29" s="120" t="s">
        <v>633</v>
      </c>
      <c r="D29" s="120" t="s">
        <v>629</v>
      </c>
      <c r="E29" s="121" t="s">
        <v>634</v>
      </c>
    </row>
    <row r="30" spans="3:5" ht="16.149999999999999" customHeight="1" x14ac:dyDescent="0.2">
      <c r="C30" s="120" t="s">
        <v>635</v>
      </c>
      <c r="D30" s="122">
        <v>44105</v>
      </c>
      <c r="E30" s="121" t="s">
        <v>636</v>
      </c>
    </row>
    <row r="31" spans="3:5" ht="10.15" customHeight="1" x14ac:dyDescent="0.2">
      <c r="C31" s="29" t="s">
        <v>271</v>
      </c>
    </row>
  </sheetData>
  <phoneticPr fontId="51" type="noConversion"/>
  <pageMargins left="0.25" right="0.25" top="0.75" bottom="0.65" header="0.3" footer="0.3"/>
  <pageSetup scale="77" firstPageNumber="2" orientation="portrait" r:id="rId1"/>
  <headerFooter scaleWithDoc="0">
    <oddFooter xml:space="preserve">&amp;L&amp;"Arial"&amp;8 80-NH713-1 YG
&amp;C&amp;"Arial"&amp;8Confidential – Qualcomm Technologies, Inc. and/or its affiliated companies – May Contain Trade Secrets
&amp;"Arial,Bold"&amp;8MAY CONTAIN U.S. AND INTERNATIONAL EXPORT CONTROLLED INFORMATION&amp;R&amp;"Arial"&amp;8 &amp;P
</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pageSetUpPr fitToPage="1"/>
  </sheetPr>
  <dimension ref="A1:P69"/>
  <sheetViews>
    <sheetView topLeftCell="A34" workbookViewId="0">
      <selection activeCell="C54" sqref="C54"/>
    </sheetView>
  </sheetViews>
  <sheetFormatPr defaultRowHeight="12.75" x14ac:dyDescent="0.2"/>
  <cols>
    <col min="1" max="1" width="4.140625" customWidth="1"/>
  </cols>
  <sheetData>
    <row r="1" spans="1:11" ht="28.9" customHeight="1" x14ac:dyDescent="0.2">
      <c r="A1" s="38" t="s">
        <v>107</v>
      </c>
      <c r="B1" s="37"/>
      <c r="C1" s="36"/>
      <c r="D1" s="36"/>
      <c r="E1" s="36"/>
      <c r="F1" s="36"/>
      <c r="G1" s="36"/>
      <c r="H1" s="36"/>
      <c r="I1" s="36"/>
      <c r="J1" s="36"/>
      <c r="K1" s="36"/>
    </row>
    <row r="2" spans="1:11" ht="9.6" customHeight="1" x14ac:dyDescent="0.2">
      <c r="A2" s="83" t="s">
        <v>129</v>
      </c>
      <c r="B2" s="84"/>
      <c r="C2" s="36"/>
      <c r="D2" s="36"/>
      <c r="E2" s="36"/>
      <c r="F2" s="36"/>
      <c r="G2" s="36"/>
      <c r="H2" s="36"/>
      <c r="I2" s="36"/>
      <c r="J2" s="36"/>
      <c r="K2" s="36"/>
    </row>
    <row r="3" spans="1:11" ht="12" customHeight="1" x14ac:dyDescent="0.25">
      <c r="A3" s="85"/>
      <c r="B3" s="83" t="s">
        <v>191</v>
      </c>
      <c r="C3" s="36"/>
      <c r="D3" s="36"/>
      <c r="E3" s="36"/>
      <c r="F3" s="36"/>
      <c r="G3" s="36"/>
      <c r="H3" s="36"/>
      <c r="I3" s="36"/>
      <c r="J3" s="36"/>
      <c r="K3" s="36"/>
    </row>
    <row r="4" spans="1:11" ht="12" customHeight="1" x14ac:dyDescent="0.25">
      <c r="A4" s="85"/>
      <c r="B4" s="83" t="s">
        <v>192</v>
      </c>
      <c r="C4" s="36"/>
      <c r="D4" s="36"/>
      <c r="E4" s="36"/>
      <c r="F4" s="36"/>
      <c r="G4" s="36"/>
      <c r="H4" s="36"/>
      <c r="I4" s="36"/>
      <c r="J4" s="36"/>
      <c r="K4" s="36"/>
    </row>
    <row r="5" spans="1:11" ht="12" customHeight="1" x14ac:dyDescent="0.25">
      <c r="A5" s="85"/>
      <c r="B5" s="83" t="s">
        <v>130</v>
      </c>
      <c r="C5" s="36"/>
      <c r="D5" s="36"/>
      <c r="E5" s="36"/>
      <c r="F5" s="36"/>
      <c r="G5" s="36"/>
      <c r="H5" s="36"/>
      <c r="I5" s="36"/>
      <c r="J5" s="36"/>
      <c r="K5" s="36"/>
    </row>
    <row r="6" spans="1:11" ht="12" customHeight="1" x14ac:dyDescent="0.25">
      <c r="A6" s="85"/>
      <c r="B6" s="83" t="s">
        <v>131</v>
      </c>
      <c r="C6" s="36"/>
      <c r="D6" s="36"/>
      <c r="E6" s="36"/>
      <c r="F6" s="36"/>
      <c r="G6" s="36"/>
      <c r="H6" s="36"/>
      <c r="I6" s="36"/>
      <c r="J6" s="36"/>
      <c r="K6" s="36"/>
    </row>
    <row r="7" spans="1:11" ht="12" customHeight="1" x14ac:dyDescent="0.25">
      <c r="A7" s="85"/>
      <c r="B7" s="83" t="s">
        <v>132</v>
      </c>
      <c r="C7" s="36"/>
      <c r="D7" s="36"/>
      <c r="E7" s="36"/>
      <c r="F7" s="36"/>
      <c r="G7" s="36"/>
      <c r="H7" s="36"/>
      <c r="I7" s="36"/>
      <c r="J7" s="36"/>
      <c r="K7" s="36"/>
    </row>
    <row r="8" spans="1:11" ht="12" customHeight="1" x14ac:dyDescent="0.25">
      <c r="A8" s="85"/>
      <c r="B8" s="86" t="s">
        <v>193</v>
      </c>
      <c r="D8" s="36"/>
      <c r="E8" s="36"/>
      <c r="F8" s="36"/>
      <c r="G8" s="36"/>
      <c r="H8" s="36"/>
      <c r="I8" s="36"/>
      <c r="J8" s="36"/>
      <c r="K8" s="36"/>
    </row>
    <row r="9" spans="1:11" ht="12" customHeight="1" x14ac:dyDescent="0.25">
      <c r="A9" s="85"/>
      <c r="B9" s="86" t="s">
        <v>194</v>
      </c>
      <c r="D9" s="36"/>
      <c r="E9" s="36"/>
      <c r="F9" s="36"/>
      <c r="G9" s="36"/>
      <c r="H9" s="36"/>
      <c r="I9" s="36"/>
      <c r="J9" s="36"/>
      <c r="K9" s="36"/>
    </row>
    <row r="10" spans="1:11" ht="12" customHeight="1" x14ac:dyDescent="0.25">
      <c r="A10" s="85"/>
      <c r="B10" s="86" t="s">
        <v>195</v>
      </c>
      <c r="D10" s="36"/>
      <c r="E10" s="36"/>
      <c r="F10" s="36"/>
      <c r="G10" s="36"/>
      <c r="H10" s="36"/>
      <c r="I10" s="36"/>
      <c r="J10" s="36"/>
      <c r="K10" s="36"/>
    </row>
    <row r="11" spans="1:11" ht="12" customHeight="1" x14ac:dyDescent="0.25">
      <c r="A11" s="85"/>
      <c r="B11" s="86" t="s">
        <v>196</v>
      </c>
      <c r="D11" s="36"/>
      <c r="E11" s="36"/>
      <c r="F11" s="36"/>
      <c r="G11" s="36"/>
      <c r="H11" s="36"/>
      <c r="I11" s="36"/>
      <c r="J11" s="36"/>
      <c r="K11" s="36"/>
    </row>
    <row r="12" spans="1:11" ht="12" customHeight="1" x14ac:dyDescent="0.25">
      <c r="A12" s="85"/>
      <c r="B12" s="86" t="s">
        <v>197</v>
      </c>
      <c r="D12" s="36"/>
      <c r="E12" s="69"/>
      <c r="F12" s="36"/>
      <c r="G12" s="36"/>
      <c r="H12" s="36"/>
      <c r="I12" s="36"/>
      <c r="J12" s="36"/>
      <c r="K12" s="36"/>
    </row>
    <row r="13" spans="1:11" ht="12" customHeight="1" x14ac:dyDescent="0.25">
      <c r="A13" s="85"/>
      <c r="B13" s="86" t="s">
        <v>170</v>
      </c>
      <c r="D13" s="36"/>
      <c r="E13" s="69"/>
      <c r="F13" s="36"/>
      <c r="G13" s="36"/>
      <c r="H13" s="36"/>
      <c r="I13" s="36"/>
      <c r="J13" s="36"/>
      <c r="K13" s="36"/>
    </row>
    <row r="14" spans="1:11" ht="12" customHeight="1" x14ac:dyDescent="0.25">
      <c r="A14" s="87"/>
      <c r="B14" s="88" t="s">
        <v>169</v>
      </c>
      <c r="D14" s="36"/>
      <c r="E14" s="36"/>
      <c r="F14" s="36"/>
      <c r="G14" s="36"/>
      <c r="H14" s="36"/>
      <c r="I14" s="36"/>
      <c r="J14" s="36"/>
      <c r="K14" s="36"/>
    </row>
    <row r="15" spans="1:11" ht="12" customHeight="1" x14ac:dyDescent="0.25">
      <c r="A15" s="87"/>
      <c r="B15" s="88" t="s">
        <v>201</v>
      </c>
      <c r="D15" s="36"/>
      <c r="E15" s="36"/>
      <c r="F15" s="36"/>
      <c r="G15" s="36"/>
      <c r="H15" s="36"/>
      <c r="I15" s="36"/>
      <c r="J15" s="36"/>
      <c r="K15" s="36"/>
    </row>
    <row r="16" spans="1:11" ht="12" customHeight="1" x14ac:dyDescent="0.25">
      <c r="A16" s="87"/>
      <c r="B16" s="88" t="s">
        <v>202</v>
      </c>
      <c r="D16" s="36"/>
      <c r="E16" s="36"/>
      <c r="F16" s="36"/>
      <c r="G16" s="36"/>
      <c r="H16" s="36"/>
      <c r="I16" s="36"/>
      <c r="J16" s="36"/>
      <c r="K16" s="36"/>
    </row>
    <row r="17" spans="1:11" ht="12" customHeight="1" x14ac:dyDescent="0.25">
      <c r="A17" s="87"/>
      <c r="B17" s="88" t="s">
        <v>203</v>
      </c>
      <c r="D17" s="36"/>
      <c r="E17" s="36"/>
      <c r="F17" s="36"/>
      <c r="G17" s="36"/>
      <c r="H17" s="36"/>
      <c r="I17" s="36"/>
      <c r="J17" s="36"/>
      <c r="K17" s="36"/>
    </row>
    <row r="18" spans="1:11" ht="12" customHeight="1" x14ac:dyDescent="0.25">
      <c r="A18" s="87"/>
      <c r="B18" s="88" t="s">
        <v>207</v>
      </c>
      <c r="D18" s="36"/>
      <c r="E18" s="36"/>
      <c r="F18" s="36"/>
      <c r="G18" s="36"/>
      <c r="H18" s="36"/>
      <c r="I18" s="36"/>
      <c r="J18" s="36"/>
      <c r="K18" s="36"/>
    </row>
    <row r="19" spans="1:11" ht="12" customHeight="1" x14ac:dyDescent="0.25">
      <c r="A19" s="87"/>
      <c r="B19" s="88" t="s">
        <v>208</v>
      </c>
      <c r="D19" s="36"/>
      <c r="E19" s="36"/>
      <c r="F19" s="36"/>
      <c r="G19" s="36"/>
      <c r="H19" s="36"/>
      <c r="I19" s="36"/>
      <c r="J19" s="36"/>
      <c r="K19" s="36"/>
    </row>
    <row r="20" spans="1:11" ht="12" customHeight="1" x14ac:dyDescent="0.25">
      <c r="A20" s="87"/>
      <c r="B20" s="88" t="s">
        <v>198</v>
      </c>
      <c r="D20" s="36"/>
      <c r="E20" s="36"/>
      <c r="F20" s="36"/>
      <c r="G20" s="36"/>
      <c r="H20" s="36"/>
      <c r="I20" s="36"/>
      <c r="J20" s="36"/>
      <c r="K20" s="36"/>
    </row>
    <row r="21" spans="1:11" ht="12" customHeight="1" x14ac:dyDescent="0.25">
      <c r="A21" s="87"/>
      <c r="B21" s="88" t="s">
        <v>209</v>
      </c>
      <c r="D21" s="36"/>
      <c r="E21" s="36"/>
      <c r="F21" s="36"/>
      <c r="G21" s="36"/>
      <c r="H21" s="36"/>
      <c r="I21" s="36"/>
      <c r="J21" s="36"/>
      <c r="K21" s="36"/>
    </row>
    <row r="22" spans="1:11" ht="12" customHeight="1" x14ac:dyDescent="0.25">
      <c r="A22" s="87"/>
      <c r="B22" s="88" t="s">
        <v>232</v>
      </c>
      <c r="D22" s="36"/>
      <c r="E22" s="36"/>
      <c r="F22" s="36"/>
      <c r="G22" s="36"/>
      <c r="H22" s="36"/>
      <c r="I22" s="36"/>
      <c r="J22" s="36"/>
      <c r="K22" s="36"/>
    </row>
    <row r="23" spans="1:11" ht="12" customHeight="1" x14ac:dyDescent="0.25">
      <c r="A23" s="87"/>
      <c r="B23" s="88" t="s">
        <v>233</v>
      </c>
      <c r="D23" s="36"/>
      <c r="E23" s="36"/>
      <c r="F23" s="36"/>
      <c r="G23" s="36"/>
      <c r="H23" s="36"/>
      <c r="I23" s="36"/>
      <c r="J23" s="36"/>
      <c r="K23" s="36"/>
    </row>
    <row r="24" spans="1:11" ht="12" customHeight="1" x14ac:dyDescent="0.25">
      <c r="A24" s="87"/>
      <c r="B24" s="88" t="s">
        <v>273</v>
      </c>
      <c r="D24" s="36"/>
      <c r="E24" s="36"/>
      <c r="F24" s="36"/>
      <c r="G24" s="36"/>
      <c r="H24" s="36"/>
      <c r="I24" s="36"/>
      <c r="J24" s="36"/>
      <c r="K24" s="36"/>
    </row>
    <row r="25" spans="1:11" ht="12" customHeight="1" x14ac:dyDescent="0.25">
      <c r="A25" s="38"/>
      <c r="B25" s="88" t="s">
        <v>235</v>
      </c>
      <c r="D25" s="36"/>
      <c r="E25" s="36"/>
      <c r="F25" s="36"/>
      <c r="G25" s="36"/>
      <c r="H25" s="36"/>
      <c r="I25" s="36"/>
      <c r="J25" s="36"/>
      <c r="K25" s="36"/>
    </row>
    <row r="26" spans="1:11" ht="12" customHeight="1" x14ac:dyDescent="0.25">
      <c r="A26" s="38"/>
      <c r="B26" s="88" t="s">
        <v>276</v>
      </c>
      <c r="D26" s="36"/>
      <c r="E26" s="36"/>
      <c r="F26" s="36"/>
      <c r="G26" s="36"/>
      <c r="H26" s="36"/>
      <c r="I26" s="36"/>
      <c r="J26" s="36"/>
      <c r="K26" s="36"/>
    </row>
    <row r="27" spans="1:11" ht="12" customHeight="1" x14ac:dyDescent="0.25">
      <c r="A27" s="38"/>
      <c r="B27" s="88" t="s">
        <v>228</v>
      </c>
      <c r="D27" s="36"/>
      <c r="E27" s="36"/>
      <c r="F27" s="36"/>
      <c r="G27" s="36"/>
      <c r="H27" s="36"/>
      <c r="I27" s="36"/>
      <c r="J27" s="36"/>
      <c r="K27" s="36"/>
    </row>
    <row r="28" spans="1:11" ht="12" customHeight="1" x14ac:dyDescent="0.25">
      <c r="A28" s="38"/>
      <c r="B28" s="88" t="s">
        <v>243</v>
      </c>
      <c r="D28" s="36"/>
      <c r="E28" s="36"/>
      <c r="F28" s="36"/>
      <c r="G28" s="36"/>
      <c r="H28" s="36"/>
      <c r="I28" s="36"/>
      <c r="J28" s="36"/>
      <c r="K28" s="36"/>
    </row>
    <row r="29" spans="1:11" ht="12" customHeight="1" x14ac:dyDescent="0.25">
      <c r="A29" s="38"/>
      <c r="B29" s="88" t="s">
        <v>274</v>
      </c>
      <c r="D29" s="36"/>
      <c r="E29" s="36"/>
      <c r="F29" s="36"/>
      <c r="G29" s="36"/>
      <c r="H29" s="36"/>
      <c r="I29" s="36"/>
      <c r="J29" s="36"/>
      <c r="K29" s="36"/>
    </row>
    <row r="30" spans="1:11" ht="12" customHeight="1" x14ac:dyDescent="0.25">
      <c r="A30" s="38"/>
      <c r="B30" s="88" t="s">
        <v>275</v>
      </c>
      <c r="D30" s="36"/>
      <c r="E30" s="36"/>
      <c r="F30" s="36"/>
      <c r="G30" s="36"/>
      <c r="H30" s="36"/>
      <c r="I30" s="36"/>
      <c r="J30" s="36"/>
      <c r="K30" s="36"/>
    </row>
    <row r="31" spans="1:11" ht="12" customHeight="1" x14ac:dyDescent="0.25">
      <c r="A31" s="38"/>
      <c r="B31" s="88" t="s">
        <v>577</v>
      </c>
      <c r="D31" s="36"/>
      <c r="E31" s="36"/>
      <c r="F31" s="36"/>
      <c r="G31" s="36"/>
      <c r="H31" s="36"/>
      <c r="I31" s="36"/>
      <c r="J31" s="36"/>
      <c r="K31" s="36"/>
    </row>
    <row r="32" spans="1:11" ht="12" customHeight="1" x14ac:dyDescent="0.25">
      <c r="A32" s="38"/>
      <c r="B32" s="88" t="s">
        <v>592</v>
      </c>
      <c r="D32" s="36"/>
      <c r="E32" s="36"/>
      <c r="F32" s="36"/>
      <c r="G32" s="36"/>
      <c r="H32" s="36"/>
      <c r="I32" s="36"/>
      <c r="J32" s="36"/>
      <c r="K32" s="36"/>
    </row>
    <row r="33" spans="1:11" ht="12" customHeight="1" x14ac:dyDescent="0.25">
      <c r="A33" s="38"/>
      <c r="B33" s="88" t="s">
        <v>590</v>
      </c>
      <c r="D33" s="36"/>
      <c r="E33" s="36"/>
      <c r="F33" s="36"/>
      <c r="G33" s="36"/>
      <c r="H33" s="36"/>
      <c r="I33" s="36"/>
      <c r="J33" s="36"/>
      <c r="K33" s="36"/>
    </row>
    <row r="34" spans="1:11" ht="12" customHeight="1" x14ac:dyDescent="0.25">
      <c r="A34" s="38"/>
      <c r="B34" s="88" t="s">
        <v>296</v>
      </c>
      <c r="D34" s="36"/>
      <c r="E34" s="36"/>
      <c r="F34" s="36"/>
      <c r="G34" s="36"/>
      <c r="H34" s="36"/>
      <c r="I34" s="36"/>
      <c r="J34" s="36"/>
      <c r="K34" s="36"/>
    </row>
    <row r="35" spans="1:11" ht="12" customHeight="1" x14ac:dyDescent="0.25">
      <c r="A35" s="38"/>
      <c r="B35" s="88" t="s">
        <v>538</v>
      </c>
      <c r="D35" s="36"/>
      <c r="E35" s="36"/>
      <c r="F35" s="36"/>
      <c r="G35" s="36"/>
      <c r="H35" s="36"/>
      <c r="I35" s="36"/>
      <c r="J35" s="36"/>
      <c r="K35" s="36"/>
    </row>
    <row r="36" spans="1:11" ht="12" customHeight="1" x14ac:dyDescent="0.25">
      <c r="A36" s="38"/>
      <c r="B36" s="88" t="s">
        <v>589</v>
      </c>
      <c r="D36" s="36"/>
      <c r="E36" s="36"/>
      <c r="F36" s="36"/>
      <c r="G36" s="36"/>
      <c r="H36" s="36"/>
      <c r="I36" s="36"/>
      <c r="J36" s="36"/>
      <c r="K36" s="36"/>
    </row>
    <row r="37" spans="1:11" ht="12" customHeight="1" x14ac:dyDescent="0.25">
      <c r="A37" s="38"/>
      <c r="B37" s="88" t="s">
        <v>548</v>
      </c>
      <c r="D37" s="36"/>
      <c r="E37" s="36"/>
      <c r="F37" s="36"/>
      <c r="G37" s="36"/>
      <c r="H37" s="36"/>
      <c r="I37" s="36"/>
      <c r="J37" s="36"/>
      <c r="K37" s="36"/>
    </row>
    <row r="38" spans="1:11" ht="12" customHeight="1" x14ac:dyDescent="0.25">
      <c r="A38" s="38"/>
      <c r="B38" s="88" t="s">
        <v>568</v>
      </c>
      <c r="D38" s="36"/>
      <c r="E38" s="36"/>
      <c r="F38" s="36"/>
      <c r="G38" s="36"/>
      <c r="H38" s="36"/>
      <c r="I38" s="36"/>
      <c r="J38" s="36"/>
      <c r="K38" s="36"/>
    </row>
    <row r="39" spans="1:11" ht="12" customHeight="1" x14ac:dyDescent="0.25">
      <c r="A39" s="38"/>
      <c r="B39" s="88" t="s">
        <v>569</v>
      </c>
      <c r="D39" s="36"/>
      <c r="E39" s="36"/>
      <c r="F39" s="36"/>
      <c r="G39" s="36"/>
      <c r="H39" s="36"/>
      <c r="I39" s="36"/>
      <c r="J39" s="36"/>
      <c r="K39" s="36"/>
    </row>
    <row r="40" spans="1:11" ht="12" customHeight="1" x14ac:dyDescent="0.25">
      <c r="A40" s="38"/>
      <c r="B40" s="88" t="s">
        <v>570</v>
      </c>
      <c r="D40" s="36"/>
      <c r="E40" s="36"/>
      <c r="F40" s="36"/>
      <c r="G40" s="36"/>
      <c r="H40" s="36"/>
      <c r="I40" s="36"/>
      <c r="J40" s="36"/>
      <c r="K40" s="36"/>
    </row>
    <row r="41" spans="1:11" ht="12" customHeight="1" x14ac:dyDescent="0.25">
      <c r="A41" s="38"/>
      <c r="B41" s="88" t="s">
        <v>571</v>
      </c>
      <c r="D41" s="36"/>
      <c r="E41" s="36"/>
      <c r="F41" s="36"/>
      <c r="G41" s="36"/>
      <c r="H41" s="36"/>
      <c r="I41" s="36"/>
      <c r="J41" s="36"/>
      <c r="K41" s="36"/>
    </row>
    <row r="42" spans="1:11" ht="12" customHeight="1" x14ac:dyDescent="0.25">
      <c r="A42" s="38"/>
      <c r="B42" s="88" t="s">
        <v>572</v>
      </c>
      <c r="D42" s="36"/>
      <c r="E42" s="36"/>
      <c r="F42" s="36"/>
      <c r="G42" s="36"/>
      <c r="H42" s="36"/>
      <c r="I42" s="36"/>
      <c r="J42" s="36"/>
      <c r="K42" s="36"/>
    </row>
    <row r="43" spans="1:11" ht="12" customHeight="1" x14ac:dyDescent="0.25">
      <c r="A43" s="38"/>
      <c r="B43" s="88" t="s">
        <v>573</v>
      </c>
      <c r="D43" s="36"/>
      <c r="E43" s="36"/>
      <c r="F43" s="36"/>
      <c r="G43" s="36"/>
      <c r="H43" s="36"/>
      <c r="I43" s="36"/>
      <c r="J43" s="36"/>
      <c r="K43" s="36"/>
    </row>
    <row r="44" spans="1:11" ht="12" customHeight="1" x14ac:dyDescent="0.25">
      <c r="A44" s="38"/>
      <c r="B44" s="88" t="s">
        <v>574</v>
      </c>
      <c r="D44" s="36"/>
      <c r="E44" s="36"/>
      <c r="F44" s="36"/>
      <c r="G44" s="36"/>
      <c r="H44" s="36"/>
      <c r="I44" s="36"/>
      <c r="J44" s="36"/>
      <c r="K44" s="36"/>
    </row>
    <row r="45" spans="1:11" ht="12" customHeight="1" x14ac:dyDescent="0.25">
      <c r="A45" s="38"/>
      <c r="B45" s="88" t="s">
        <v>575</v>
      </c>
      <c r="D45" s="36"/>
      <c r="E45" s="36"/>
      <c r="F45" s="36"/>
      <c r="G45" s="36"/>
      <c r="H45" s="36"/>
      <c r="I45" s="36"/>
      <c r="J45" s="36"/>
      <c r="K45" s="36"/>
    </row>
    <row r="46" spans="1:11" ht="12" customHeight="1" x14ac:dyDescent="0.25">
      <c r="A46" s="38"/>
      <c r="B46" s="88" t="s">
        <v>576</v>
      </c>
      <c r="D46" s="36"/>
      <c r="E46" s="36"/>
      <c r="F46" s="36"/>
      <c r="G46" s="36"/>
      <c r="H46" s="36"/>
      <c r="I46" s="36"/>
      <c r="J46" s="36"/>
      <c r="K46" s="36"/>
    </row>
    <row r="47" spans="1:11" ht="12" customHeight="1" x14ac:dyDescent="0.25">
      <c r="A47" s="38"/>
      <c r="B47" s="88" t="s">
        <v>587</v>
      </c>
      <c r="D47" s="36"/>
      <c r="E47" s="36"/>
      <c r="F47" s="36"/>
      <c r="G47" s="36"/>
      <c r="H47" s="36"/>
      <c r="I47" s="36"/>
      <c r="J47" s="36"/>
      <c r="K47" s="36"/>
    </row>
    <row r="48" spans="1:11" ht="12" customHeight="1" x14ac:dyDescent="0.25">
      <c r="A48" s="38"/>
      <c r="B48" s="88" t="s">
        <v>605</v>
      </c>
      <c r="D48" s="36"/>
      <c r="E48" s="36"/>
      <c r="F48" s="36"/>
      <c r="G48" s="36"/>
      <c r="H48" s="36"/>
      <c r="I48" s="36"/>
      <c r="J48" s="36"/>
      <c r="K48" s="36"/>
    </row>
    <row r="49" spans="1:16" ht="12" customHeight="1" x14ac:dyDescent="0.25">
      <c r="A49" s="38"/>
      <c r="B49" s="88" t="s">
        <v>606</v>
      </c>
      <c r="D49" s="36"/>
      <c r="E49" s="36"/>
      <c r="F49" s="36"/>
      <c r="G49" s="36"/>
      <c r="H49" s="36"/>
      <c r="I49" s="36"/>
      <c r="J49" s="36"/>
      <c r="K49" s="36"/>
    </row>
    <row r="50" spans="1:16" ht="12" customHeight="1" x14ac:dyDescent="0.25">
      <c r="A50" s="38"/>
      <c r="B50" s="88" t="s">
        <v>613</v>
      </c>
      <c r="D50" s="36"/>
      <c r="E50" s="36"/>
      <c r="F50" s="36"/>
      <c r="G50" s="36"/>
      <c r="H50" s="36"/>
      <c r="I50" s="36"/>
      <c r="J50" s="36"/>
      <c r="K50" s="36"/>
    </row>
    <row r="51" spans="1:16" ht="12" customHeight="1" x14ac:dyDescent="0.25">
      <c r="A51" s="38"/>
      <c r="B51" s="88" t="s">
        <v>623</v>
      </c>
      <c r="D51" s="36"/>
      <c r="E51" s="36"/>
      <c r="F51" s="36"/>
      <c r="G51" s="36"/>
      <c r="H51" s="36"/>
      <c r="I51" s="36"/>
      <c r="J51" s="36"/>
      <c r="K51" s="36"/>
    </row>
    <row r="52" spans="1:16" ht="11.65" customHeight="1" x14ac:dyDescent="0.25">
      <c r="B52" s="88" t="s">
        <v>631</v>
      </c>
    </row>
    <row r="53" spans="1:16" ht="11.65" customHeight="1" x14ac:dyDescent="0.25">
      <c r="B53" s="88" t="s">
        <v>632</v>
      </c>
    </row>
    <row r="54" spans="1:16" ht="11.65" customHeight="1" x14ac:dyDescent="0.25">
      <c r="B54" s="88" t="s">
        <v>637</v>
      </c>
    </row>
    <row r="55" spans="1:16" ht="12" customHeight="1" x14ac:dyDescent="0.2"/>
    <row r="56" spans="1:16" ht="12" customHeight="1" x14ac:dyDescent="0.3">
      <c r="A56" s="81" t="s">
        <v>108</v>
      </c>
      <c r="B56" s="36"/>
      <c r="C56" s="36"/>
      <c r="D56" s="36"/>
      <c r="E56" s="36"/>
      <c r="F56" s="36"/>
      <c r="G56" s="36"/>
      <c r="H56" s="36"/>
      <c r="I56" s="36"/>
      <c r="J56" s="36"/>
      <c r="K56" s="36"/>
    </row>
    <row r="57" spans="1:16" ht="12" customHeight="1" x14ac:dyDescent="0.25">
      <c r="A57" s="82" t="s">
        <v>584</v>
      </c>
      <c r="B57" s="82"/>
      <c r="C57" s="36"/>
      <c r="D57" s="36"/>
      <c r="E57" s="36"/>
      <c r="F57" s="36"/>
      <c r="G57" s="36"/>
      <c r="H57" s="36"/>
      <c r="I57" s="36"/>
      <c r="J57" s="36"/>
      <c r="K57" s="36"/>
    </row>
    <row r="58" spans="1:16" ht="12" customHeight="1" x14ac:dyDescent="0.25">
      <c r="A58" s="82" t="s">
        <v>199</v>
      </c>
      <c r="B58" s="82"/>
      <c r="C58" s="36"/>
      <c r="D58" s="36"/>
      <c r="E58" s="36"/>
      <c r="F58" s="36"/>
      <c r="G58" s="36"/>
      <c r="H58" s="36"/>
      <c r="I58" s="36"/>
      <c r="J58" s="36"/>
      <c r="K58" s="36"/>
    </row>
    <row r="59" spans="1:16" ht="12" customHeight="1" x14ac:dyDescent="0.25">
      <c r="A59" s="123" t="s">
        <v>579</v>
      </c>
      <c r="B59" s="123"/>
      <c r="C59" s="123"/>
      <c r="D59" s="123"/>
      <c r="E59" s="123"/>
      <c r="F59" s="123"/>
      <c r="G59" s="123"/>
      <c r="H59" s="123"/>
      <c r="I59" s="123"/>
      <c r="J59" s="123"/>
      <c r="K59" s="123"/>
      <c r="L59" s="123"/>
      <c r="M59" s="123"/>
      <c r="N59" s="123"/>
      <c r="O59" s="123"/>
    </row>
    <row r="60" spans="1:16" ht="11.1" customHeight="1" x14ac:dyDescent="0.2">
      <c r="A60" s="124" t="s">
        <v>580</v>
      </c>
      <c r="B60" s="124"/>
      <c r="C60" s="124"/>
      <c r="D60" s="124"/>
      <c r="E60" s="124"/>
      <c r="F60" s="124"/>
      <c r="G60" s="124"/>
      <c r="H60" s="124"/>
      <c r="I60" s="124"/>
      <c r="J60" s="124"/>
      <c r="K60" s="124"/>
      <c r="L60" s="124"/>
      <c r="M60" s="124"/>
      <c r="N60" s="124"/>
      <c r="O60" s="124"/>
    </row>
    <row r="61" spans="1:16" ht="9.6" customHeight="1" x14ac:dyDescent="0.2">
      <c r="A61" s="125" t="s">
        <v>582</v>
      </c>
      <c r="B61" s="125"/>
      <c r="C61" s="125"/>
      <c r="D61" s="125"/>
      <c r="E61" s="125"/>
      <c r="F61" s="125"/>
      <c r="G61" s="125"/>
      <c r="H61" s="125"/>
      <c r="I61" s="125"/>
      <c r="J61" s="125"/>
      <c r="K61" s="125"/>
      <c r="L61" s="125"/>
      <c r="M61" s="125"/>
      <c r="N61" s="125"/>
      <c r="O61" s="125"/>
      <c r="P61" s="125"/>
    </row>
    <row r="62" spans="1:16" ht="8.65" customHeight="1" x14ac:dyDescent="0.2">
      <c r="A62" s="125" t="s">
        <v>581</v>
      </c>
      <c r="B62" s="125"/>
      <c r="C62" s="125"/>
      <c r="D62" s="125"/>
      <c r="E62" s="125"/>
      <c r="F62" s="125"/>
      <c r="G62" s="125"/>
      <c r="H62" s="125"/>
      <c r="I62" s="125"/>
      <c r="J62" s="125"/>
      <c r="K62" s="125"/>
      <c r="L62" s="125"/>
      <c r="M62" s="125"/>
    </row>
    <row r="63" spans="1:16" x14ac:dyDescent="0.2">
      <c r="A63" s="117"/>
      <c r="B63" s="13"/>
      <c r="C63" s="13"/>
      <c r="D63" s="13"/>
      <c r="E63" s="13"/>
      <c r="F63" s="13"/>
      <c r="G63" s="13"/>
      <c r="H63" s="13"/>
      <c r="I63" s="13"/>
      <c r="J63" s="13"/>
      <c r="K63" s="13"/>
      <c r="L63" s="13"/>
      <c r="M63" s="13"/>
    </row>
    <row r="64" spans="1:16" x14ac:dyDescent="0.2">
      <c r="A64" s="69"/>
    </row>
    <row r="65" spans="1:2" ht="20.25" x14ac:dyDescent="0.3">
      <c r="A65" s="81" t="s">
        <v>231</v>
      </c>
      <c r="B65" s="3"/>
    </row>
    <row r="66" spans="1:2" ht="15" x14ac:dyDescent="0.25">
      <c r="A66" s="88">
        <v>1</v>
      </c>
      <c r="B66" t="s">
        <v>293</v>
      </c>
    </row>
    <row r="68" spans="1:2" ht="20.25" x14ac:dyDescent="0.3">
      <c r="A68" s="81" t="s">
        <v>185</v>
      </c>
      <c r="B68" s="3"/>
    </row>
    <row r="69" spans="1:2" ht="15" x14ac:dyDescent="0.25">
      <c r="A69" s="89">
        <v>1</v>
      </c>
      <c r="B69" s="78" t="s">
        <v>204</v>
      </c>
    </row>
  </sheetData>
  <mergeCells count="4">
    <mergeCell ref="A59:O59"/>
    <mergeCell ref="A60:O60"/>
    <mergeCell ref="A62:M62"/>
    <mergeCell ref="A61:P61"/>
  </mergeCells>
  <phoneticPr fontId="51" type="noConversion"/>
  <pageMargins left="0.25" right="0.25" top="0.75" bottom="0.65" header="0.3" footer="0.3"/>
  <pageSetup scale="77" orientation="portrait" r:id="rId1"/>
  <headerFooter scaleWithDoc="0">
    <oddFooter xml:space="preserve">&amp;L&amp;"Arial"&amp;8 80-NH713-1 YG
&amp;C&amp;"Arial"&amp;8Confidential – Qualcomm Technologies, Inc. and/or its affiliated companies – May Contain Trade Secrets
&amp;"Arial,Bold"&amp;8MAY CONTAIN U.S. AND INTERNATIONAL EXPORT CONTROLLED INFORMATION&amp;R&amp;"Arial"&amp;8 &amp;P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pageSetUpPr fitToPage="1"/>
  </sheetPr>
  <dimension ref="B1:Z142"/>
  <sheetViews>
    <sheetView topLeftCell="A121" zoomScale="85" zoomScaleNormal="85" workbookViewId="0">
      <selection activeCell="C24" sqref="C24"/>
    </sheetView>
  </sheetViews>
  <sheetFormatPr defaultColWidth="9.140625" defaultRowHeight="12.75" x14ac:dyDescent="0.2"/>
  <cols>
    <col min="1" max="1" width="3.28515625" customWidth="1"/>
    <col min="2" max="2" width="92.7109375" customWidth="1"/>
    <col min="3" max="3" width="14.7109375" customWidth="1"/>
    <col min="4" max="4" width="15.7109375" customWidth="1"/>
    <col min="5" max="5" width="10.28515625" customWidth="1"/>
    <col min="6" max="6" width="15" customWidth="1"/>
    <col min="10" max="10" width="17.85546875" customWidth="1"/>
    <col min="11" max="11" width="6.5703125" customWidth="1"/>
    <col min="12" max="12" width="10" bestFit="1" customWidth="1"/>
    <col min="13" max="13" width="11" customWidth="1"/>
    <col min="14" max="14" width="12.85546875" customWidth="1"/>
  </cols>
  <sheetData>
    <row r="1" spans="2:26" ht="18" x14ac:dyDescent="0.25">
      <c r="B1" s="61" t="s">
        <v>124</v>
      </c>
      <c r="C1" s="61"/>
      <c r="J1" s="36"/>
      <c r="K1" s="118"/>
      <c r="L1" s="118"/>
      <c r="M1" s="118"/>
      <c r="N1" s="118"/>
      <c r="O1" s="118"/>
      <c r="P1" s="118"/>
      <c r="Q1" s="118"/>
      <c r="R1" s="118"/>
      <c r="S1" s="118"/>
      <c r="T1" s="118"/>
      <c r="U1" s="118"/>
      <c r="V1" s="118"/>
      <c r="W1" s="118"/>
      <c r="X1" s="118"/>
      <c r="Y1" s="118"/>
      <c r="Z1" s="118"/>
    </row>
    <row r="2" spans="2:26" x14ac:dyDescent="0.2">
      <c r="B2" s="54" t="s">
        <v>123</v>
      </c>
      <c r="C2" s="55">
        <v>60</v>
      </c>
      <c r="D2" t="s">
        <v>67</v>
      </c>
      <c r="J2" s="36"/>
      <c r="K2" s="36"/>
      <c r="L2" s="36"/>
      <c r="M2" s="36"/>
      <c r="N2" s="36"/>
      <c r="O2" s="36"/>
      <c r="P2" s="36"/>
      <c r="Q2" s="36"/>
      <c r="R2" s="36"/>
      <c r="S2" s="36"/>
      <c r="T2" s="36"/>
      <c r="U2" s="36"/>
      <c r="V2" s="36"/>
      <c r="W2" s="36"/>
      <c r="X2" s="36"/>
      <c r="Y2" s="36"/>
      <c r="Z2" s="36"/>
    </row>
    <row r="3" spans="2:26" x14ac:dyDescent="0.2">
      <c r="B3" s="54" t="s">
        <v>122</v>
      </c>
      <c r="C3" s="55">
        <v>4</v>
      </c>
      <c r="D3" t="s">
        <v>29</v>
      </c>
      <c r="E3" s="52" t="s">
        <v>112</v>
      </c>
      <c r="J3" s="36"/>
      <c r="K3" s="36"/>
      <c r="L3" s="36"/>
      <c r="M3" s="36"/>
      <c r="N3" s="36"/>
      <c r="O3" s="36"/>
      <c r="P3" s="36"/>
      <c r="Q3" s="36"/>
      <c r="R3" s="36"/>
      <c r="S3" s="36"/>
      <c r="T3" s="36"/>
      <c r="U3" s="36"/>
      <c r="V3" s="36"/>
      <c r="W3" s="36"/>
      <c r="X3" s="36"/>
      <c r="Y3" s="36"/>
      <c r="Z3" s="36"/>
    </row>
    <row r="4" spans="2:26" x14ac:dyDescent="0.2">
      <c r="B4" s="54" t="s">
        <v>121</v>
      </c>
      <c r="C4" s="55">
        <v>3</v>
      </c>
      <c r="D4" t="s">
        <v>28</v>
      </c>
      <c r="E4" s="52" t="s">
        <v>112</v>
      </c>
      <c r="J4" s="36"/>
      <c r="K4" s="36"/>
      <c r="L4" s="36"/>
      <c r="M4" s="36"/>
      <c r="N4" s="36"/>
      <c r="O4" s="36"/>
      <c r="P4" s="36"/>
      <c r="Q4" s="36"/>
      <c r="R4" s="36"/>
      <c r="S4" s="36"/>
      <c r="T4" s="36"/>
      <c r="U4" s="36"/>
      <c r="V4" s="36"/>
      <c r="W4" s="36"/>
      <c r="X4" s="36"/>
      <c r="Y4" s="36"/>
      <c r="Z4" s="36"/>
    </row>
    <row r="5" spans="2:26" ht="15" x14ac:dyDescent="0.25">
      <c r="C5" s="56"/>
      <c r="J5" s="36"/>
      <c r="K5" s="36"/>
      <c r="L5" s="36"/>
      <c r="M5" s="36"/>
      <c r="N5" s="36"/>
      <c r="O5" s="36"/>
      <c r="P5" s="36"/>
      <c r="Q5" s="36"/>
      <c r="R5" s="36"/>
      <c r="S5" s="36"/>
      <c r="T5" s="36"/>
      <c r="U5" s="36"/>
      <c r="V5" s="36"/>
      <c r="W5" s="36"/>
      <c r="X5" s="36"/>
      <c r="Y5" s="36"/>
      <c r="Z5" s="36"/>
    </row>
    <row r="6" spans="2:26" x14ac:dyDescent="0.2">
      <c r="B6" t="s">
        <v>120</v>
      </c>
      <c r="C6" s="57">
        <f>C8</f>
        <v>1920</v>
      </c>
      <c r="D6" s="1" t="s">
        <v>12</v>
      </c>
      <c r="E6" t="s">
        <v>13</v>
      </c>
      <c r="J6" s="36"/>
      <c r="K6" s="10"/>
      <c r="L6" s="10"/>
      <c r="M6" s="10"/>
      <c r="N6" s="10"/>
      <c r="O6" s="10"/>
      <c r="P6" s="10"/>
      <c r="Q6" s="10"/>
      <c r="R6" s="10"/>
      <c r="S6" s="10"/>
      <c r="T6" s="10"/>
      <c r="U6" s="10"/>
      <c r="V6" s="10"/>
      <c r="W6" s="10"/>
      <c r="X6" s="10"/>
      <c r="Y6" s="10"/>
      <c r="Z6" s="10"/>
    </row>
    <row r="7" spans="2:26" x14ac:dyDescent="0.2">
      <c r="B7" t="s">
        <v>119</v>
      </c>
      <c r="C7" s="57">
        <f>C9</f>
        <v>2160</v>
      </c>
      <c r="D7" s="1" t="s">
        <v>14</v>
      </c>
      <c r="E7" t="s">
        <v>13</v>
      </c>
      <c r="J7" s="36"/>
      <c r="K7" s="36"/>
      <c r="L7" s="36"/>
      <c r="M7" s="36"/>
      <c r="N7" s="36"/>
      <c r="O7" s="36"/>
      <c r="P7" s="36"/>
      <c r="Q7" s="36"/>
      <c r="R7" s="36"/>
      <c r="S7" s="36"/>
      <c r="T7" s="36"/>
      <c r="U7" s="36"/>
      <c r="V7" s="36"/>
      <c r="W7" s="36"/>
      <c r="X7" s="36"/>
      <c r="Y7" s="36"/>
      <c r="Z7" s="36"/>
    </row>
    <row r="8" spans="2:26" x14ac:dyDescent="0.2">
      <c r="B8" s="54" t="s">
        <v>118</v>
      </c>
      <c r="C8" s="55">
        <v>1920</v>
      </c>
      <c r="D8" s="1" t="s">
        <v>12</v>
      </c>
      <c r="E8" t="s">
        <v>16</v>
      </c>
      <c r="J8" s="36"/>
      <c r="K8" s="36"/>
      <c r="L8" s="36"/>
      <c r="M8" s="36"/>
      <c r="N8" s="36"/>
      <c r="O8" s="36"/>
      <c r="P8" s="36"/>
      <c r="Q8" s="36"/>
      <c r="R8" s="36"/>
      <c r="S8" s="36"/>
      <c r="T8" s="36"/>
      <c r="U8" s="36"/>
      <c r="V8" s="36"/>
      <c r="W8" s="36"/>
      <c r="X8" s="36"/>
      <c r="Y8" s="36"/>
      <c r="Z8" s="36"/>
    </row>
    <row r="9" spans="2:26" x14ac:dyDescent="0.2">
      <c r="B9" s="54" t="s">
        <v>117</v>
      </c>
      <c r="C9" s="55">
        <v>2160</v>
      </c>
      <c r="D9" s="1" t="s">
        <v>14</v>
      </c>
      <c r="E9" t="s">
        <v>16</v>
      </c>
      <c r="J9" s="36"/>
      <c r="K9" s="36"/>
      <c r="L9" s="36"/>
      <c r="M9" s="36"/>
      <c r="N9" s="36"/>
      <c r="O9" s="36"/>
      <c r="P9" s="36"/>
      <c r="Q9" s="36"/>
      <c r="R9" s="36"/>
      <c r="S9" s="36"/>
      <c r="T9" s="36"/>
      <c r="U9" s="36"/>
      <c r="V9" s="36"/>
      <c r="W9" s="36"/>
      <c r="X9" s="36"/>
      <c r="Y9" s="36"/>
      <c r="Z9" s="36"/>
    </row>
    <row r="10" spans="2:26" ht="15" x14ac:dyDescent="0.25">
      <c r="C10" s="56"/>
      <c r="D10" s="1"/>
      <c r="J10" s="36"/>
      <c r="K10" s="36"/>
      <c r="L10" s="36"/>
      <c r="M10" s="36"/>
      <c r="N10" s="36"/>
      <c r="O10" s="36"/>
      <c r="P10" s="36"/>
      <c r="Q10" s="36"/>
      <c r="R10" s="36"/>
      <c r="S10" s="36"/>
      <c r="T10" s="36"/>
      <c r="U10" s="36"/>
      <c r="V10" s="36"/>
      <c r="W10" s="36"/>
      <c r="X10" s="36"/>
      <c r="Y10" s="36"/>
      <c r="Z10" s="36"/>
    </row>
    <row r="11" spans="2:26" x14ac:dyDescent="0.2">
      <c r="B11" s="54" t="s">
        <v>116</v>
      </c>
      <c r="C11" s="55">
        <v>88</v>
      </c>
      <c r="D11" s="1" t="s">
        <v>62</v>
      </c>
      <c r="E11" s="52" t="s">
        <v>112</v>
      </c>
      <c r="K11" s="10"/>
      <c r="L11" s="10"/>
      <c r="M11" s="10"/>
      <c r="N11" s="10"/>
      <c r="O11" s="10"/>
      <c r="P11" s="10"/>
      <c r="Q11" s="10"/>
      <c r="R11" s="10"/>
      <c r="S11" s="10"/>
      <c r="T11" s="10"/>
      <c r="U11" s="10"/>
      <c r="V11" s="10"/>
      <c r="W11" s="10"/>
      <c r="X11" s="10"/>
      <c r="Y11" s="10"/>
      <c r="Z11" s="10"/>
    </row>
    <row r="12" spans="2:26" x14ac:dyDescent="0.2">
      <c r="B12" s="54" t="s">
        <v>115</v>
      </c>
      <c r="C12" s="55">
        <v>298</v>
      </c>
      <c r="D12" s="1" t="s">
        <v>62</v>
      </c>
      <c r="E12" s="52" t="s">
        <v>112</v>
      </c>
      <c r="K12" s="60"/>
      <c r="L12" s="58"/>
      <c r="M12" s="58"/>
      <c r="N12" s="58"/>
    </row>
    <row r="13" spans="2:26" x14ac:dyDescent="0.2">
      <c r="B13" t="s">
        <v>114</v>
      </c>
      <c r="C13" s="57">
        <f>C11+C12</f>
        <v>386</v>
      </c>
      <c r="D13" s="1" t="s">
        <v>62</v>
      </c>
      <c r="K13" s="58"/>
      <c r="L13" s="59"/>
      <c r="M13" s="58"/>
      <c r="N13" s="58"/>
    </row>
    <row r="14" spans="2:26" x14ac:dyDescent="0.2">
      <c r="B14" s="54" t="s">
        <v>113</v>
      </c>
      <c r="C14" s="55">
        <v>176</v>
      </c>
      <c r="D14" s="1" t="s">
        <v>62</v>
      </c>
      <c r="E14" s="52" t="s">
        <v>112</v>
      </c>
      <c r="K14" s="58"/>
      <c r="L14" s="59"/>
      <c r="M14" s="58"/>
      <c r="N14" s="58"/>
    </row>
    <row r="15" spans="2:26" ht="15" x14ac:dyDescent="0.25">
      <c r="C15" s="56"/>
      <c r="D15" s="1"/>
      <c r="E15" t="str">
        <f>IF(C113&lt;C118, "horizontal total is too short if link goes to LP11 during BLLP", "horizontal total ok")</f>
        <v>horizontal total ok</v>
      </c>
    </row>
    <row r="16" spans="2:26" x14ac:dyDescent="0.2">
      <c r="B16" s="54" t="s">
        <v>21</v>
      </c>
      <c r="C16" s="55">
        <v>8</v>
      </c>
      <c r="D16" s="1" t="s">
        <v>14</v>
      </c>
    </row>
    <row r="17" spans="2:7" x14ac:dyDescent="0.2">
      <c r="B17" s="54" t="s">
        <v>22</v>
      </c>
      <c r="C17" s="55">
        <v>72</v>
      </c>
      <c r="D17" s="1" t="s">
        <v>14</v>
      </c>
    </row>
    <row r="18" spans="2:7" x14ac:dyDescent="0.2">
      <c r="B18" t="s">
        <v>294</v>
      </c>
      <c r="C18" s="57">
        <f>C16+C17</f>
        <v>80</v>
      </c>
      <c r="D18" s="1" t="s">
        <v>14</v>
      </c>
    </row>
    <row r="19" spans="2:7" x14ac:dyDescent="0.2">
      <c r="B19" s="54" t="s">
        <v>23</v>
      </c>
      <c r="C19" s="55">
        <v>10</v>
      </c>
      <c r="D19" s="1" t="s">
        <v>14</v>
      </c>
    </row>
    <row r="20" spans="2:7" ht="15" x14ac:dyDescent="0.25">
      <c r="B20" s="51"/>
      <c r="C20" s="56"/>
      <c r="D20" s="1"/>
    </row>
    <row r="21" spans="2:7" x14ac:dyDescent="0.2">
      <c r="B21" s="54" t="s">
        <v>171</v>
      </c>
      <c r="C21" s="55">
        <v>19.2</v>
      </c>
      <c r="D21" s="1" t="s">
        <v>15</v>
      </c>
    </row>
    <row r="22" spans="2:7" x14ac:dyDescent="0.2">
      <c r="B22" s="54" t="s">
        <v>95</v>
      </c>
      <c r="C22" s="54">
        <v>1</v>
      </c>
      <c r="D22" s="1"/>
    </row>
    <row r="23" spans="2:7" x14ac:dyDescent="0.2">
      <c r="B23" s="51"/>
      <c r="C23" s="51"/>
      <c r="D23" s="1"/>
    </row>
    <row r="24" spans="2:7" x14ac:dyDescent="0.2">
      <c r="B24" s="54" t="s">
        <v>179</v>
      </c>
      <c r="C24" s="54" t="s">
        <v>243</v>
      </c>
      <c r="D24" s="1"/>
    </row>
    <row r="25" spans="2:7" x14ac:dyDescent="0.2">
      <c r="B25" s="36" t="s">
        <v>178</v>
      </c>
      <c r="C25" s="36">
        <f>IF(OR(C24="SM8350", C24="SM8150", C24="SC8180", C24="SA8155", C24="SM8250", C24="SM7250", C24="SM7350"),4,
IF(OR(C24="SM4350",C24="SM6350",C24="8x98",C24="SDM845", C24="SDM710", C24="SDM712", C24="SDM670", C24="QCS603", C24="QCS605", C24="SM7150", C24="SM6250"),3,
IF(OR(C24="8x96",C24="8x53",C24="SDM660",C24="SDM630", C24="SDM632", C24="SDM636", C24="SM6125", C24="SM6150", C24="SA6155", C24="QCS610", C24="SDM450", C24="SDM455",C24="SM6125",C24="SM4250"),2,
IF(OR(C24="SDM439", C24="SDM429"), "SDM4X9",
1))))</f>
        <v>3</v>
      </c>
      <c r="D25" s="1"/>
    </row>
    <row r="26" spans="2:7" hidden="1" x14ac:dyDescent="0.2">
      <c r="B26" s="74" t="s">
        <v>78</v>
      </c>
      <c r="C26" s="75"/>
      <c r="D26" s="53"/>
      <c r="E26" s="11"/>
      <c r="F26" s="11"/>
      <c r="G26" s="11"/>
    </row>
    <row r="27" spans="2:7" hidden="1" x14ac:dyDescent="0.2">
      <c r="B27" s="79" t="s">
        <v>111</v>
      </c>
      <c r="C27" s="75"/>
      <c r="D27" s="53"/>
      <c r="E27" s="11"/>
      <c r="F27" s="11"/>
      <c r="G27" s="11"/>
    </row>
    <row r="28" spans="2:7" x14ac:dyDescent="0.2">
      <c r="B28" s="54" t="s">
        <v>229</v>
      </c>
      <c r="C28" s="54">
        <v>0</v>
      </c>
      <c r="D28" s="1"/>
      <c r="E28" s="52" t="s">
        <v>112</v>
      </c>
    </row>
    <row r="29" spans="2:7" x14ac:dyDescent="0.2">
      <c r="B29" s="54" t="s">
        <v>261</v>
      </c>
      <c r="C29" s="54">
        <v>0</v>
      </c>
      <c r="D29" s="1"/>
    </row>
    <row r="30" spans="2:7" x14ac:dyDescent="0.2">
      <c r="B30" s="54" t="s">
        <v>262</v>
      </c>
      <c r="C30" s="54">
        <v>1</v>
      </c>
      <c r="D30" s="1"/>
    </row>
    <row r="31" spans="2:7" x14ac:dyDescent="0.2">
      <c r="B31" s="36" t="s">
        <v>618</v>
      </c>
      <c r="C31" s="36">
        <f>IF(PHY_MAJOR_VERSION=4, 1, 0)</f>
        <v>0</v>
      </c>
      <c r="D31" s="1"/>
    </row>
    <row r="32" spans="2:7" ht="18" x14ac:dyDescent="0.25">
      <c r="B32" s="46" t="s">
        <v>52</v>
      </c>
      <c r="C32" s="50"/>
    </row>
    <row r="34" spans="2:4" x14ac:dyDescent="0.2">
      <c r="B34" s="41" t="s">
        <v>17</v>
      </c>
      <c r="C34" s="41">
        <f>SUM(C6,C11,C12,C14)</f>
        <v>2482</v>
      </c>
      <c r="D34" s="41" t="s">
        <v>18</v>
      </c>
    </row>
    <row r="35" spans="2:4" x14ac:dyDescent="0.2">
      <c r="B35" s="41" t="s">
        <v>19</v>
      </c>
      <c r="C35" s="41">
        <f>SUM(C7,C16,C17,C19)</f>
        <v>2250</v>
      </c>
      <c r="D35" s="41" t="s">
        <v>20</v>
      </c>
    </row>
    <row r="36" spans="2:4" x14ac:dyDescent="0.2">
      <c r="B36" s="41" t="s">
        <v>65</v>
      </c>
      <c r="C36" s="42">
        <f>(C34*C35)/(C6*C7)</f>
        <v>1.3465711805555556</v>
      </c>
    </row>
    <row r="38" spans="2:4" x14ac:dyDescent="0.2">
      <c r="B38" s="2" t="s">
        <v>24</v>
      </c>
      <c r="C38" s="2" t="s">
        <v>25</v>
      </c>
    </row>
    <row r="39" spans="2:4" x14ac:dyDescent="0.2">
      <c r="B39" s="3" t="s">
        <v>53</v>
      </c>
      <c r="C39" s="49" t="str">
        <f>DEC2HEX(C34*2^16 + C11)</f>
        <v>9B20058</v>
      </c>
    </row>
    <row r="40" spans="2:4" x14ac:dyDescent="0.2">
      <c r="B40" s="3" t="s">
        <v>54</v>
      </c>
      <c r="C40" s="7" t="str">
        <f>DEC2HEX(C35*C34)</f>
        <v>553674</v>
      </c>
    </row>
    <row r="41" spans="2:4" x14ac:dyDescent="0.2">
      <c r="B41" s="3" t="s">
        <v>55</v>
      </c>
      <c r="C41" s="7" t="str">
        <f>DEC2HEX(C16*C34)</f>
        <v>4D90</v>
      </c>
    </row>
    <row r="42" spans="2:4" x14ac:dyDescent="0.2">
      <c r="B42" s="3" t="s">
        <v>56</v>
      </c>
      <c r="C42" s="7" t="str">
        <f>DEC2HEX((C34-C14-1)*2^16 + C13)</f>
        <v>9010182</v>
      </c>
    </row>
    <row r="43" spans="2:4" x14ac:dyDescent="0.2">
      <c r="B43" s="3" t="s">
        <v>57</v>
      </c>
      <c r="C43" s="7" t="str">
        <f>DEC2HEX(C18*C34)</f>
        <v>307A0</v>
      </c>
    </row>
    <row r="44" spans="2:4" x14ac:dyDescent="0.2">
      <c r="B44" s="3" t="s">
        <v>58</v>
      </c>
      <c r="C44" s="7" t="str">
        <f>DEC2HEX((C35-C19)*C34 - 1)</f>
        <v>54D57F</v>
      </c>
    </row>
    <row r="45" spans="2:4" x14ac:dyDescent="0.2">
      <c r="B45" s="3" t="s">
        <v>59</v>
      </c>
      <c r="C45" s="7">
        <f>IF(C6&gt;C8,DEC2HEX( 1*2^31 + (C13+INT((C6-C8)/2) + C8-1)*2^16 + C13+INT((C6-C8)/2)), 0)</f>
        <v>0</v>
      </c>
      <c r="D45" s="126" t="s">
        <v>26</v>
      </c>
    </row>
    <row r="46" spans="2:4" x14ac:dyDescent="0.2">
      <c r="B46" s="3" t="s">
        <v>60</v>
      </c>
      <c r="C46" s="7">
        <f>IF(C7&gt;C9,DEC2HEX( 1*2^31 + (C18+INT((C7-C9)/2))*C34), 0)</f>
        <v>0</v>
      </c>
      <c r="D46" s="126"/>
    </row>
    <row r="47" spans="2:4" x14ac:dyDescent="0.2">
      <c r="B47" s="3" t="s">
        <v>61</v>
      </c>
      <c r="C47" s="7">
        <f>IF(C7&gt;C9,DEC2HEX(( C18+INT((C7-C9)/2)+C9)*C34 - 1), 0)</f>
        <v>0</v>
      </c>
      <c r="D47" s="126"/>
    </row>
    <row r="49" spans="2:3" ht="18" x14ac:dyDescent="0.25">
      <c r="B49" s="46" t="s">
        <v>76</v>
      </c>
    </row>
    <row r="50" spans="2:3" x14ac:dyDescent="0.2">
      <c r="B50" s="41"/>
      <c r="C50" s="41" t="s">
        <v>110</v>
      </c>
    </row>
    <row r="51" spans="2:3" x14ac:dyDescent="0.2">
      <c r="B51" s="41" t="s">
        <v>0</v>
      </c>
      <c r="C51" s="48">
        <v>0</v>
      </c>
    </row>
    <row r="52" spans="2:3" x14ac:dyDescent="0.2">
      <c r="B52" s="41" t="s">
        <v>1</v>
      </c>
      <c r="C52" s="48">
        <f>C11</f>
        <v>88</v>
      </c>
    </row>
    <row r="53" spans="2:3" x14ac:dyDescent="0.2">
      <c r="B53" s="41" t="s">
        <v>2</v>
      </c>
      <c r="C53" s="48">
        <v>0</v>
      </c>
    </row>
    <row r="54" spans="2:3" x14ac:dyDescent="0.2">
      <c r="B54" s="41" t="s">
        <v>3</v>
      </c>
      <c r="C54" s="48">
        <v>0</v>
      </c>
    </row>
    <row r="55" spans="2:3" x14ac:dyDescent="0.2">
      <c r="B55" s="41" t="s">
        <v>4</v>
      </c>
      <c r="C55" s="48">
        <v>0</v>
      </c>
    </row>
    <row r="56" spans="2:3" x14ac:dyDescent="0.2">
      <c r="B56" s="41" t="s">
        <v>5</v>
      </c>
      <c r="C56" s="48">
        <f>C16</f>
        <v>8</v>
      </c>
    </row>
    <row r="57" spans="2:3" x14ac:dyDescent="0.2">
      <c r="B57" s="41" t="s">
        <v>6</v>
      </c>
      <c r="C57" s="48">
        <f>C8+C11+C12+C14-1</f>
        <v>2481</v>
      </c>
    </row>
    <row r="58" spans="2:3" x14ac:dyDescent="0.2">
      <c r="B58" s="41" t="s">
        <v>7</v>
      </c>
      <c r="C58" s="48">
        <f>C16+C17+C19+C9-1</f>
        <v>2249</v>
      </c>
    </row>
    <row r="59" spans="2:3" x14ac:dyDescent="0.2">
      <c r="B59" s="41" t="s">
        <v>8</v>
      </c>
      <c r="C59" s="48">
        <f>C11+C12</f>
        <v>386</v>
      </c>
    </row>
    <row r="60" spans="2:3" x14ac:dyDescent="0.2">
      <c r="B60" s="41" t="s">
        <v>9</v>
      </c>
      <c r="C60" s="48">
        <f>C11+C12+C8</f>
        <v>2306</v>
      </c>
    </row>
    <row r="61" spans="2:3" x14ac:dyDescent="0.2">
      <c r="B61" s="41" t="s">
        <v>10</v>
      </c>
      <c r="C61" s="48">
        <f>C16+C17</f>
        <v>80</v>
      </c>
    </row>
    <row r="62" spans="2:3" x14ac:dyDescent="0.2">
      <c r="B62" s="41" t="s">
        <v>11</v>
      </c>
      <c r="C62" s="48">
        <f>C9+C16+C17</f>
        <v>2240</v>
      </c>
    </row>
    <row r="63" spans="2:3" x14ac:dyDescent="0.2">
      <c r="B63" s="41"/>
      <c r="C63" s="48"/>
    </row>
    <row r="64" spans="2:3" x14ac:dyDescent="0.2">
      <c r="B64" s="2" t="s">
        <v>24</v>
      </c>
      <c r="C64" s="2" t="s">
        <v>25</v>
      </c>
    </row>
    <row r="65" spans="2:3" x14ac:dyDescent="0.2">
      <c r="B65" s="3" t="s">
        <v>71</v>
      </c>
      <c r="C65" s="7" t="str">
        <f>DEC2HEX(C60*2^16 + C59)</f>
        <v>9020182</v>
      </c>
    </row>
    <row r="66" spans="2:3" x14ac:dyDescent="0.2">
      <c r="B66" s="3" t="s">
        <v>72</v>
      </c>
      <c r="C66" s="7" t="str">
        <f>DEC2HEX(C62*2^16+C61)</f>
        <v>8C00050</v>
      </c>
    </row>
    <row r="67" spans="2:3" x14ac:dyDescent="0.2">
      <c r="B67" s="3" t="s">
        <v>73</v>
      </c>
      <c r="C67" s="7" t="str">
        <f>DEC2HEX(C58*2^16 + C57)</f>
        <v>8C909B1</v>
      </c>
    </row>
    <row r="68" spans="2:3" x14ac:dyDescent="0.2">
      <c r="B68" s="3" t="s">
        <v>83</v>
      </c>
      <c r="C68" s="7" t="str">
        <f>DEC2HEX(C52*2^16+C51)</f>
        <v>580000</v>
      </c>
    </row>
    <row r="69" spans="2:3" x14ac:dyDescent="0.2">
      <c r="B69" s="3" t="s">
        <v>74</v>
      </c>
      <c r="C69" s="7" t="str">
        <f>DEC2HEX(C54*2^16+C53)</f>
        <v>0</v>
      </c>
    </row>
    <row r="70" spans="2:3" x14ac:dyDescent="0.2">
      <c r="B70" s="3" t="s">
        <v>75</v>
      </c>
      <c r="C70" s="7" t="str">
        <f>DEC2HEX(C56*2^16+C55)</f>
        <v>80000</v>
      </c>
    </row>
    <row r="71" spans="2:3" x14ac:dyDescent="0.2">
      <c r="C71" s="47"/>
    </row>
    <row r="72" spans="2:3" x14ac:dyDescent="0.2">
      <c r="B72" s="3" t="str">
        <f>'DSI PHY timing setting'!A42</f>
        <v>DSI_CLKOUT_TIMING_CTRL</v>
      </c>
      <c r="C72" s="7" t="str">
        <f xml:space="preserve"> IF(PHY_MAJOR_VERSION="SDM4x9",0,
IF(PHY_MAJOR_VERSION=1,'DSI PHY timing setting'!B42,
IF(PHY_MAJOR_VERSION=2,'DSI PHY 2.0.0 timing setting'!B57,
IF(PHY_MAJOR_VERSION=3, IF(PHY_MODE=0, 'DSI PHY 3.0.0 DPHY timing'!B50, 0),
IF(PHY_MAJOR_VERSION=4, IF(PHY_MODE=0, 'DSI PHY 4.0.0 DPHY timing'!B54, 0),
"error")))))</f>
        <v>1534</v>
      </c>
    </row>
    <row r="73" spans="2:3" x14ac:dyDescent="0.2">
      <c r="B73" s="3" t="str">
        <f>'DSI PHY timing setting'!A43</f>
        <v xml:space="preserve">DSI_TEST_PATTERN_GEN_VIDEO_ENABLE </v>
      </c>
      <c r="C73" s="7">
        <f xml:space="preserve"> IF(PHY_MAJOR_VERSION="SDM4x9",0,
IF(PHY_MAJOR_VERSION&lt;2,'DSI PHY timing setting'!B43,
IF(PHY_MAJOR_VERSION=2,'DSI PHY 2.0.0 timing setting'!B58,
IF(PHY_MAJOR_VERSION=3, IF(PHY_MODE=0, 'DSI PHY 3.0.0 DPHY timing'!B51, 0),
IF(PHY_MAJOR_VERSION=4, IF(PHY_MODE=0, 'DSI PHY 4.0.0 DPHY timing'!B55, 0),
"error")))))</f>
        <v>1</v>
      </c>
    </row>
    <row r="74" spans="2:3" x14ac:dyDescent="0.2">
      <c r="B74" s="3" t="str">
        <f>IF(PHY_MAJOR_VERSION=4, 'DSI PHY 4.0.0 DPHY timing'!A56, "")</f>
        <v/>
      </c>
      <c r="C74" t="str">
        <f>IF(PHY_MAJOR_VERSION=4, IF(PHY_MODE=0, 'DSI PHY 4.0.0 DPHY timing'!B56, 0), "")</f>
        <v/>
      </c>
    </row>
    <row r="75" spans="2:3" x14ac:dyDescent="0.2">
      <c r="B75" s="3" t="str">
        <f>IF(PHY_MAJOR_VERSION=4, 'DSI PHY 4.0.0 DPHY timing'!A57, IF(PHY_MAJOR_VERSION=3,'DSI PHY 3.0.0 DPHY timing'!A52,  IF(PHY_MAJOR_VERSION=2, 'DSI PHY 2.0.0 timing setting'!A59, "")))</f>
        <v>DSI_DESKEW_DELAY_CTRL (setting for initial deskew)</v>
      </c>
      <c r="C75" s="3" t="str">
        <f>IF(PHY_MAJOR_VERSION=4, IF(PHY_MODE=0, 'DSI PHY 4.0.0 DPHY timing'!B57, 0),
IF(PHY_MAJOR_VERSION=3, IF(PHY_MODE=0, 'DSI PHY 3.0.0 DPHY timing'!B52, 0),
IF(PHY_MAJOR_VERSION=2, 'DSI PHY 2.0.0 timing setting'!B59,
"")))</f>
        <v>149A007D</v>
      </c>
    </row>
    <row r="76" spans="2:3" x14ac:dyDescent="0.2">
      <c r="B76" s="3" t="str">
        <f>IF(PHY_MAJOR_VERSION=4, 'DSI PHY 4.0.0 DPHY timing'!A58, IF(PHY_MAJOR_VERSION=3,'DSI PHY 3.0.0 DPHY timing'!A53,  IF(PHY_MAJOR_VERSION=2, 'DSI PHY 2.0.0 timing setting'!A60, "")))</f>
        <v>DSI_DESKEW_DELAY_CTRL (setting for periodic deskew)</v>
      </c>
      <c r="C76" s="3">
        <f>IF(PHY_MAJOR_VERSION=4, IF(PHY_MODE=0,  'DSI PHY 4.0.0 DPHY timing'!B58, 0),
IF(PHY_MAJOR_VERSION=3, IF(PHY_MODE=0,  'DSI PHY 3.0.0 DPHY timing'!B53, 0),
IF(PHY_MAJOR_VERSION=2, 'DSI PHY 2.0.0 timing setting'!B60,
"")))</f>
        <v>0</v>
      </c>
    </row>
    <row r="77" spans="2:3" ht="25.5" x14ac:dyDescent="0.2">
      <c r="B77" s="96" t="str">
        <f>IF(PHY_MAJOR_VERSION=4, 'DSI PHY 4.0.0 DPHY timing'!A59, IF(PHY_MAJOR_VERSION=3,'DSI PHY 3.0.0 DPHY timing'!A54,  IF(PHY_MAJOR_VERSION=2, 'DSI PHY 2.0.0 timing setting'!A61, "")))</f>
        <v>DSI_DESKEW_CTRL.DESKEW_CONTINOUS_CLK_EN (setting for periodic deskew in video mode operation)</v>
      </c>
      <c r="C77" s="3">
        <f>IF(PHY_MAJOR_VERSION=4, IF(PHY_MODE=0, 'DSI PHY 4.0.0 DPHY timing'!B59, 0),
IF(PHY_MAJOR_VERSION=3, IF(PHY_MODE=0, 'DSI PHY 3.0.0 DPHY timing'!B54, 0),
IF(PHY_MAJOR_VERSION=2, 'DSI PHY 2.0.0 timing setting'!B61,
"")))</f>
        <v>0</v>
      </c>
    </row>
    <row r="78" spans="2:3" x14ac:dyDescent="0.2">
      <c r="B78" s="3"/>
      <c r="C78" s="7"/>
    </row>
    <row r="79" spans="2:3" ht="18" x14ac:dyDescent="0.25">
      <c r="B79" s="46" t="s">
        <v>82</v>
      </c>
      <c r="C79" s="2" t="s">
        <v>25</v>
      </c>
    </row>
    <row r="80" spans="2:3" x14ac:dyDescent="0.2">
      <c r="B80" s="10" t="str">
        <f xml:space="preserve"> IF(PHY_MAJOR_VERSION="SDM4x9", 'SDM439 DPHY timing'!A42,
IF(AND(PHY_MAJOR_VERSION=4, PHY_MODE=0), 'DSI PHY 4.0.0 DPHY timing'!A38,
IF(AND(PHY_MAJOR_VERSION=4, PHY_MODE=1), 'DSI PHY 4.0.0 CPHY timing'!A23,
IF(AND(PHY_MAJOR_VERSION=3, PHY_MODE=0), 'DSI PHY 3.0.0 DPHY timing'!A37,
IF(AND(PHY_MAJOR_VERSION=3, PHY_MODE=1), 'DSI PHY 3.0.0 CPHY timing'!A23,
IF(PHY_MAJOR_VERSION=2, 'DSI PHY 2.0.0 timing setting'!A39,
IF(PHY_MAJOR_VERSION=1, 'DSI PHY timing setting'!A29,
“”)))))))</f>
        <v>DSIPHY_CMN_TIMING_CTRL_0</v>
      </c>
      <c r="C80" s="10" t="str">
        <f xml:space="preserve"> IF(PHY_MAJOR_VERSION="SDM4x9", 'SDM439 DPHY timing'!B42,
IF(AND(PHY_MAJOR_VERSION=4, PHY_MODE=0), 'DSI PHY 4.0.0 DPHY timing'!B38,
IF(AND(PHY_MAJOR_VERSION=4, PHY_MODE=1), 'DSI PHY 4.0.0 CPHY timing'!B23,
IF(AND(PHY_MAJOR_VERSION=3, PHY_MODE=0), 'DSI PHY 3.0.0 DPHY timing'!B37,
IF(AND(PHY_MAJOR_VERSION=3, PHY_MODE=1), 'DSI PHY 3.0.0 CPHY timing'!B23,
IF(PHY_MAJOR_VERSION=2, 'DSI PHY 2.0.0 timing setting'!B39,
IF(PHY_MAJOR_VERSION=1, 'DSI PHY timing setting'!B29,
“”)))))))</f>
        <v>0</v>
      </c>
    </row>
    <row r="81" spans="2:3" x14ac:dyDescent="0.2">
      <c r="B81" s="10" t="str">
        <f xml:space="preserve"> IF(PHY_MAJOR_VERSION="SDM4x9", 'SDM439 DPHY timing'!A43,
IF(AND(PHY_MAJOR_VERSION=4, PHY_MODE=0), 'DSI PHY 4.0.0 DPHY timing'!A39,
IF(AND(PHY_MAJOR_VERSION=4, PHY_MODE=1), 'DSI PHY 4.0.0 CPHY timing'!A24,
IF(AND(PHY_MAJOR_VERSION=3, PHY_MODE=0), 'DSI PHY 3.0.0 DPHY timing'!A38,
IF(AND(PHY_MAJOR_VERSION=3, PHY_MODE=1), 'DSI PHY 3.0.0 CPHY timing'!A24,
IF(PHY_MAJOR_VERSION=2, 'DSI PHY 2.0.0 timing setting'!A40,
IF(PHY_MAJOR_VERSION=1, 'DSI PHY timing setting'!A30,
“”)))))))</f>
        <v>DSIPHY_CMN_TIMING_CTRL_1</v>
      </c>
      <c r="C81" s="10" t="str">
        <f xml:space="preserve"> IF(PHY_MAJOR_VERSION="SDM4x9", 'SDM439 DPHY timing'!B43,
IF(AND(PHY_MAJOR_VERSION=4, PHY_MODE=0), 'DSI PHY 4.0.0 DPHY timing'!B39,
IF(AND(PHY_MAJOR_VERSION=4, PHY_MODE=1), 'DSI PHY 4.0.0 CPHY timing'!B24,
IF(AND(PHY_MAJOR_VERSION=3, PHY_MODE=0), 'DSI PHY 3.0.0 DPHY timing'!B38,
IF(AND(PHY_MAJOR_VERSION=3, PHY_MODE=1), 'DSI PHY 3.0.0 CPHY timing'!B24,
IF(PHY_MAJOR_VERSION=2, 'DSI PHY 2.0.0 timing setting'!B40,
IF(PHY_MAJOR_VERSION=1, 'DSI PHY timing setting'!B30,
“”)))))))</f>
        <v>3E</v>
      </c>
    </row>
    <row r="82" spans="2:3" x14ac:dyDescent="0.2">
      <c r="B82" s="10" t="str">
        <f xml:space="preserve"> IF(PHY_MAJOR_VERSION="SDM4x9", 'SDM439 DPHY timing'!A44,
IF(AND(PHY_MAJOR_VERSION=4, PHY_MODE=0), 'DSI PHY 4.0.0 DPHY timing'!A40,
IF(AND(PHY_MAJOR_VERSION=4, PHY_MODE=1), 'DSI PHY 4.0.0 CPHY timing'!A25,
IF(AND(PHY_MAJOR_VERSION=3, PHY_MODE=0), 'DSI PHY 3.0.0 DPHY timing'!A39,
IF(AND(PHY_MAJOR_VERSION=3, PHY_MODE=1), 'DSI PHY 3.0.0 CPHY timing'!A25,
IF(PHY_MAJOR_VERSION=2, 'DSI PHY 2.0.0 timing setting'!A41,
IF(PHY_MAJOR_VERSION=1, 'DSI PHY timing setting'!A31,
“”)))))))</f>
        <v>DSIPHY_CMN_TIMING_CTRL_2</v>
      </c>
      <c r="C82" s="10" t="str">
        <f xml:space="preserve"> IF(PHY_MAJOR_VERSION="SDM4x9", 'SDM439 DPHY timing'!B44,
IF(AND(PHY_MAJOR_VERSION=4, PHY_MODE=0), 'DSI PHY 4.0.0 DPHY timing'!B40,
IF(AND(PHY_MAJOR_VERSION=4, PHY_MODE=1), 'DSI PHY 4.0.0 CPHY timing'!B25,
IF(AND(PHY_MAJOR_VERSION=3, PHY_MODE=0), 'DSI PHY 3.0.0 DPHY timing'!B39,
IF(AND(PHY_MAJOR_VERSION=3, PHY_MODE=1), 'DSI PHY 3.0.0 CPHY timing'!B25,
IF(PHY_MAJOR_VERSION=2, 'DSI PHY 2.0.0 timing setting'!B41,
IF(PHY_MAJOR_VERSION=1, 'DSI PHY timing setting'!B31,
“”)))))))</f>
        <v>11</v>
      </c>
    </row>
    <row r="83" spans="2:3" x14ac:dyDescent="0.2">
      <c r="B83" s="10" t="str">
        <f xml:space="preserve"> IF(PHY_MAJOR_VERSION="SDM4x9", 'SDM439 DPHY timing'!A45,
IF(AND(PHY_MAJOR_VERSION=4, PHY_MODE=0), 'DSI PHY 4.0.0 DPHY timing'!A41,
IF(AND(PHY_MAJOR_VERSION=4, PHY_MODE=1), 'DSI PHY 4.0.0 CPHY timing'!A26,
IF(AND(PHY_MAJOR_VERSION=3, PHY_MODE=0), 'DSI PHY 3.0.0 DPHY timing'!A40,
IF(AND(PHY_MAJOR_VERSION=3, PHY_MODE=1), 'DSI PHY 3.0.0 CPHY timing'!A26,
IF(PHY_MAJOR_VERSION=2, 'DSI PHY 2.0.0 timing setting'!A42,
IF(PHY_MAJOR_VERSION=1, 'DSI PHY timing setting'!A32,
“”)))))))</f>
        <v>DSIPHY_CMN_TIMING_CTRL_3</v>
      </c>
      <c r="C83" s="10" t="str">
        <f xml:space="preserve"> IF(PHY_MAJOR_VERSION="SDM4x9", 'SDM439 DPHY timing'!B45,
IF(AND(PHY_MAJOR_VERSION=4, PHY_MODE=0), 'DSI PHY 4.0.0 DPHY timing'!B41,
IF(AND(PHY_MAJOR_VERSION=4, PHY_MODE=1), 'DSI PHY 4.0.0 CPHY timing'!B26,
IF(AND(PHY_MAJOR_VERSION=3, PHY_MODE=0), 'DSI PHY 3.0.0 DPHY timing'!B40,
IF(AND(PHY_MAJOR_VERSION=3, PHY_MODE=1), 'DSI PHY 3.0.0 CPHY timing'!B26,
IF(PHY_MAJOR_VERSION=2, 'DSI PHY 2.0.0 timing setting'!B42,
IF(PHY_MAJOR_VERSION=1, 'DSI PHY timing setting'!B32,
“”)))))))</f>
        <v>11</v>
      </c>
    </row>
    <row r="84" spans="2:3" x14ac:dyDescent="0.2">
      <c r="B84" s="10" t="str">
        <f xml:space="preserve"> IF(PHY_MAJOR_VERSION="SDM4x9", 'SDM439 DPHY timing'!A46,
IF(AND(PHY_MAJOR_VERSION=4, PHY_MODE=0), 'DSI PHY 4.0.0 DPHY timing'!A42,
IF(AND(PHY_MAJOR_VERSION=4, PHY_MODE=1), 'DSI PHY 4.0.0 CPHY timing'!A27,
IF(AND(PHY_MAJOR_VERSION=3, PHY_MODE=0), 'DSI PHY 3.0.0 DPHY timing'!A41,
IF(AND(PHY_MAJOR_VERSION=3, PHY_MODE=1), 'DSI PHY 3.0.0 CPHY timing'!A27,
IF(PHY_MAJOR_VERSION=2, 'DSI PHY 2.0.0 timing setting'!A43,
IF(PHY_MAJOR_VERSION=1, 'DSI PHY timing setting'!A33,
“”)))))))</f>
        <v>DSIPHY_CMN_TIMING_CTRL_4</v>
      </c>
      <c r="C84" s="10" t="str">
        <f xml:space="preserve"> IF(PHY_MAJOR_VERSION="SDM4x9", 'SDM439 DPHY timing'!B46,
IF(AND(PHY_MAJOR_VERSION=4, PHY_MODE=0), 'DSI PHY 4.0.0 DPHY timing'!B42,
IF(AND(PHY_MAJOR_VERSION=4, PHY_MODE=1), 'DSI PHY 4.0.0 CPHY timing'!B27,
IF(AND(PHY_MAJOR_VERSION=3, PHY_MODE=0), 'DSI PHY 3.0.0 DPHY timing'!B41,
IF(AND(PHY_MAJOR_VERSION=3, PHY_MODE=1), 'DSI PHY 3.0.0 CPHY timing'!B27,
IF(PHY_MAJOR_VERSION=2, 'DSI PHY 2.0.0 timing setting'!B43,
IF(PHY_MAJOR_VERSION=1, 'DSI PHY timing setting'!B33,
“”)))))))</f>
        <v>30</v>
      </c>
    </row>
    <row r="85" spans="2:3" x14ac:dyDescent="0.2">
      <c r="B85" s="10" t="str">
        <f xml:space="preserve"> IF(PHY_MAJOR_VERSION="SDM4x9", 'SDM439 DPHY timing'!A47,
IF(AND(PHY_MAJOR_VERSION=4, PHY_MODE=0), 'DSI PHY 4.0.0 DPHY timing'!A43,
IF(AND(PHY_MAJOR_VERSION=4, PHY_MODE=1), 'DSI PHY 4.0.0 CPHY timing'!A28,
IF(AND(PHY_MAJOR_VERSION=3, PHY_MODE=0), 'DSI PHY 3.0.0 DPHY timing'!A42,
IF(AND(PHY_MAJOR_VERSION=3, PHY_MODE=1), 'DSI PHY 3.0.0 CPHY timing'!A28,
IF(PHY_MAJOR_VERSION=2, 'DSI PHY 2.0.0 timing setting'!A44,
IF(PHY_MAJOR_VERSION=1, 'DSI PHY timing setting'!A34,
“”)))))))</f>
        <v>DSIPHY_CMN_TIMING_CTRL_5</v>
      </c>
      <c r="C85" s="10" t="str">
        <f xml:space="preserve"> IF(PHY_MAJOR_VERSION="SDM4x9", 'SDM439 DPHY timing'!B47,
IF(AND(PHY_MAJOR_VERSION=4, PHY_MODE=0), 'DSI PHY 4.0.0 DPHY timing'!B43,
IF(AND(PHY_MAJOR_VERSION=4, PHY_MODE=1), 'DSI PHY 4.0.0 CPHY timing'!B28,
IF(AND(PHY_MAJOR_VERSION=3, PHY_MODE=0), 'DSI PHY 3.0.0 DPHY timing'!B42,
IF(AND(PHY_MAJOR_VERSION=3, PHY_MODE=1), 'DSI PHY 3.0.0 CPHY timing'!B28,
IF(PHY_MAJOR_VERSION=2, 'DSI PHY 2.0.0 timing setting'!B44,
IF(PHY_MAJOR_VERSION=1, 'DSI PHY timing setting'!B34,
“”)))))))</f>
        <v>2C</v>
      </c>
    </row>
    <row r="86" spans="2:3" x14ac:dyDescent="0.2">
      <c r="B86" s="10" t="str">
        <f xml:space="preserve"> IF(PHY_MAJOR_VERSION="SDM4x9", 'SDM439 DPHY timing'!A48,
IF(AND(PHY_MAJOR_VERSION=4, PHY_MODE=0), 'DSI PHY 4.0.0 DPHY timing'!A44,
IF(AND(PHY_MAJOR_VERSION=4, PHY_MODE=1), 'DSI PHY 4.0.0 CPHY timing'!A29,
IF(AND(PHY_MAJOR_VERSION=3, PHY_MODE=0), 'DSI PHY 3.0.0 DPHY timing'!A43,
IF(AND(PHY_MAJOR_VERSION=3, PHY_MODE=1), 'DSI PHY 3.0.0 CPHY timing'!A29,
IF(PHY_MAJOR_VERSION=2, 'DSI PHY 2.0.0 timing setting'!A45,
IF(PHY_MAJOR_VERSION=1, 'DSI PHY timing setting'!A35,
“”)))))))</f>
        <v>DSIPHY_CMN_TIMING_CTRL_6</v>
      </c>
      <c r="C86" s="10" t="str">
        <f xml:space="preserve"> IF(PHY_MAJOR_VERSION="SDM4x9", 'SDM439 DPHY timing'!B48,
IF(AND(PHY_MAJOR_VERSION=4, PHY_MODE=0), 'DSI PHY 4.0.0 DPHY timing'!B44,
IF(AND(PHY_MAJOR_VERSION=4, PHY_MODE=1), 'DSI PHY 4.0.0 CPHY timing'!B29,
IF(AND(PHY_MAJOR_VERSION=3, PHY_MODE=0), 'DSI PHY 3.0.0 DPHY timing'!B43,
IF(AND(PHY_MAJOR_VERSION=3, PHY_MODE=1), 'DSI PHY 3.0.0 CPHY timing'!B29,
IF(PHY_MAJOR_VERSION=2, 'DSI PHY 2.0.0 timing setting'!B45,
IF(PHY_MAJOR_VERSION=1, 'DSI PHY timing setting'!B35,
“”)))))))</f>
        <v>11</v>
      </c>
    </row>
    <row r="87" spans="2:3" x14ac:dyDescent="0.2">
      <c r="B87" s="10" t="str">
        <f xml:space="preserve"> IF(PHY_MAJOR_VERSION="SDM4x9", 'SDM439 DPHY timing'!A49,
IF(AND(PHY_MAJOR_VERSION=4, PHY_MODE=0), 'DSI PHY 4.0.0 DPHY timing'!A45,
IF(AND(PHY_MAJOR_VERSION=4, PHY_MODE=1), 'DSI PHY 4.0.0 CPHY timing'!A30,
IF(AND(PHY_MAJOR_VERSION=3, PHY_MODE=0), 'DSI PHY 3.0.0 DPHY timing'!A44,
IF(AND(PHY_MAJOR_VERSION=3, PHY_MODE=1), 'DSI PHY 3.0.0 CPHY timing'!A30,
IF(PHY_MAJOR_VERSION=2, 'DSI PHY 2.0.0 timing setting'!A46,
IF(PHY_MAJOR_VERSION=1, 'DSI PHY timing setting'!A36,
“”)))))))</f>
        <v>DSIPHY_CMN_TIMING_CTRL_7</v>
      </c>
      <c r="C87" s="10" t="str">
        <f xml:space="preserve"> IF(PHY_MAJOR_VERSION="SDM4x9", 'SDM439 DPHY timing'!B49,
IF(AND(PHY_MAJOR_VERSION=4, PHY_MODE=0), 'DSI PHY 4.0.0 DPHY timing'!B45,
IF(AND(PHY_MAJOR_VERSION=4, PHY_MODE=1), 'DSI PHY 4.0.0 CPHY timing'!B30,
IF(AND(PHY_MAJOR_VERSION=3, PHY_MODE=0), 'DSI PHY 3.0.0 DPHY timing'!B44,
IF(AND(PHY_MAJOR_VERSION=3, PHY_MODE=1), 'DSI PHY 3.0.0 CPHY timing'!B30,
IF(PHY_MAJOR_VERSION=2, 'DSI PHY 2.0.0 timing setting'!B46,
IF(PHY_MAJOR_VERSION=1, 'DSI PHY timing setting'!B36,
“”)))))))</f>
        <v>11</v>
      </c>
    </row>
    <row r="88" spans="2:3" x14ac:dyDescent="0.2">
      <c r="B88" s="10" t="str">
        <f xml:space="preserve"> IF(PHY_MAJOR_VERSION="SDM4x9", 'SDM439 DPHY timing'!A49,
IF(AND(PHY_MAJOR_VERSION=4, PHY_MODE=0), 'DSI PHY 4.0.0 DPHY timing'!A45,
IF(AND(PHY_MAJOR_VERSION=3, PHY_MODE=0), 'DSI PHY 3.0.0 DPHY timing'!A44,
IF(PHY_MAJOR_VERSION=2, 'DSI PHY 2.0.0 timing setting'!A46,
IF(PHY_MAJOR_VERSION=1, 'DSI PHY timing setting'!A36,
"")))))</f>
        <v>DSIPHY_CMN_TIMING_CTRL_7</v>
      </c>
      <c r="C88" s="10" t="str">
        <f xml:space="preserve"> IF(PHY_MAJOR_VERSION="SDM4x9", 'SDM439 DPHY timing'!B49,
IF(AND(PHY_MAJOR_VERSION=4, PHY_MODE=0), 'DSI PHY 4.0.0 DPHY timing'!B45,
IF(AND(PHY_MAJOR_VERSION=3, PHY_MODE=0), 'DSI PHY 3.0.0 DPHY timing'!B44,
IF(PHY_MAJOR_VERSION=2, 'DSI PHY 2.0.0 timing setting'!B46,
IF(PHY_MAJOR_VERSION=1, 'DSI PHY timing setting'!B36,
"")))))</f>
        <v>11</v>
      </c>
    </row>
    <row r="89" spans="2:3" x14ac:dyDescent="0.2">
      <c r="B89" s="10" t="str">
        <f xml:space="preserve"> IF(PHY_MAJOR_VERSION="SDM4x9", 'SDM439 DPHY timing'!A50,
IF(AND(PHY_MAJOR_VERSION=4, PHY_MODE=0), 'DSI PHY 4.0.0 DPHY timing'!A46,
IF(AND(PHY_MAJOR_VERSION=3, PHY_MODE=0), 'DSI PHY 3.0.0 DPHY timing'!A45,
IF(PHY_MAJOR_VERSION=2, 'DSI PHY 2.0.0 timing setting'!A47,
IF(PHY_MAJOR_VERSION=1, 'DSI PHY timing setting'!A37,
"")))))</f>
        <v>DSIPHY_CMN_TIMING_CTRL_8</v>
      </c>
      <c r="C89" s="10" t="str">
        <f xml:space="preserve"> IF(PHY_MAJOR_VERSION="SDM4x9", 'SDM439 DPHY timing'!B50,
IF(AND(PHY_MAJOR_VERSION=4, PHY_MODE=0), 'DSI PHY 4.0.0 DPHY timing'!B46,
IF(AND(PHY_MAJOR_VERSION=3, PHY_MODE=0), 'DSI PHY 3.0.0 DPHY timing'!B45,
IF(PHY_MAJOR_VERSION=2, 'DSI PHY 2.0.0 timing setting'!B47,
IF(PHY_MAJOR_VERSION=1, 'DSI PHY timing setting'!B37,
"")))))</f>
        <v>F</v>
      </c>
    </row>
    <row r="90" spans="2:3" x14ac:dyDescent="0.2">
      <c r="B90" s="10" t="str">
        <f xml:space="preserve"> IF(PHY_MAJOR_VERSION="SDM4x9", 'SDM439 DPHY timing'!A51,
IF(AND(PHY_MAJOR_VERSION=4, PHY_MODE=0),  'DSI PHY 4.0.0 DPHY timing'!A47,
IF(AND(PHY_MAJOR_VERSION=3, PHY_MODE=0), 'DSI PHY 3.0.0 DPHY timing'!A46,
IF(PHY_MAJOR_VERSION=2, 'DSI PHY 2.0.0 timing setting'!A48,
IF(PHY_MAJOR_VERSION=1, 'DSI PHY timing setting'!A38,
"")))))</f>
        <v>DSIPHY_CMN_TIMING_CTRL_9</v>
      </c>
      <c r="C90" s="10" t="str">
        <f xml:space="preserve"> IF(PHY_MAJOR_VERSION="SDM4x9", 'SDM439 DPHY timing'!B51,
IF(AND(PHY_MAJOR_VERSION=4, PHY_MODE=0),  'DSI PHY 4.0.0 DPHY timing'!B47,
IF(AND(PHY_MAJOR_VERSION=3, PHY_MODE=0), 'DSI PHY 3.0.0 DPHY timing'!B46,
IF(PHY_MAJOR_VERSION=2, 'DSI PHY 2.0.0 timing setting'!B48,
IF(PHY_MAJOR_VERSION=1, 'DSI PHY timing setting'!B38,
"")))))</f>
        <v>2</v>
      </c>
    </row>
    <row r="91" spans="2:3" x14ac:dyDescent="0.2">
      <c r="B91" s="10" t="str">
        <f xml:space="preserve"> IF(PHY_MAJOR_VERSION="SDM4x9", 'SDM439 DPHY timing'!A52,
IF(AND(PHY_MAJOR_VERSION=4, PHY_MODE=0), 'DSI PHY 4.0.0 DPHY timing'!A48,
IF(AND(PHY_MAJOR_VERSION=3, PHY_MODE=0), 'DSI PHY 3.0.0 DPHY timing'!A47,
IF(PHY_MAJOR_VERSION=2, 'DSI PHY 2.0.0 timing setting'!A49,
IF(PHY_MAJOR_VERSION=1, 'DSI PHY timing setting'!A39,
"")))))</f>
        <v>DSIPHY_CMN_TIMING_CTRL_10</v>
      </c>
      <c r="C91" s="10" t="str">
        <f xml:space="preserve"> IF(PHY_MAJOR_VERSION="SDM4x9", 'SDM439 DPHY timing'!B52,
IF(AND(PHY_MAJOR_VERSION=4, PHY_MODE=0), 'DSI PHY 4.0.0 DPHY timing'!B48,
IF(AND(PHY_MAJOR_VERSION=3, PHY_MODE=0), 'DSI PHY 3.0.0 DPHY timing'!B47,
IF(PHY_MAJOR_VERSION=2, 'DSI PHY 2.0.0 timing setting'!B49,
IF(PHY_MAJOR_VERSION=1, 'DSI PHY timing setting'!B39,
"")))))</f>
        <v>4</v>
      </c>
    </row>
    <row r="92" spans="2:3" x14ac:dyDescent="0.2">
      <c r="B92" s="10" t="str">
        <f xml:space="preserve"> IF(PHY_MAJOR_VERSION="SDM4x9", 'SDM439 DPHY timing'!A53,
IF(AND(PHY_MAJOR_VERSION=4, PHY_MODE=0), 'DSI PHY 4.0.0 DPHY timing'!A49,
IF(PHY_MAJOR_VERSION&lt;&gt;2, "",
'DSI PHY 2.0.0 timing setting'!A50)))</f>
        <v/>
      </c>
      <c r="C92" s="10" t="str">
        <f xml:space="preserve"> IF(PHY_MAJOR_VERSION="SDM4x9", 'SDM439 DPHY timing'!B53,
IF(AND(PHY_MAJOR_VERSION=4, PHY_MODE=0), 'DSI PHY 4.0.0 DPHY timing'!B49,
IF(PHY_MAJOR_VERSION&lt;&gt;2, "",
'DSI PHY 2.0.0 timing setting'!B50)))</f>
        <v/>
      </c>
    </row>
    <row r="93" spans="2:3" x14ac:dyDescent="0.2">
      <c r="B93" s="10" t="str">
        <f>IF(PHY_MAJOR_VERSION="SDM4x9", 'SDM439 DPHY timing'!A54,
IF(AND(PHY_MAJOR_VERSION=4, PHY_MODE=0), 'DSI PHY 4.0.0 DPHY timing'!A50,
IF(PHY_MAJOR_VERSION&lt;&gt;2, "",
'DSI PHY 2.0.0 timing setting'!A51)))</f>
        <v/>
      </c>
      <c r="C93" s="10" t="str">
        <f>IF(PHY_MAJOR_VERSION="SDM4x9", 'SDM439 DPHY timing'!B54,
IF(AND(PHY_MAJOR_VERSION=4, PHY_MODE=0), 'DSI PHY 4.0.0 DPHY timing'!B50,
IF(PHY_MAJOR_VERSION&lt;&gt;2, "",
'DSI PHY 2.0.0 timing setting'!B51)))</f>
        <v/>
      </c>
    </row>
    <row r="94" spans="2:3" x14ac:dyDescent="0.2">
      <c r="B94" s="10" t="str">
        <f>IF(PHY_MAJOR_VERSION="SDM4x9", 'SDM439 DPHY timing'!A55,
IF(AND(PHY_MAJOR_VERSION=4, PHY_MODE=0), 'DSI PHY 4.0.0 DPHY timing'!A51,
IF(PHY_MAJOR_VERSION&lt;&gt;2, "",
'DSI PHY 2.0.0 timing setting'!A52)))</f>
        <v/>
      </c>
      <c r="C94" s="10" t="str">
        <f>IF(PHY_MAJOR_VERSION="SDM4x9", 'SDM439 DPHY timing'!B55,
IF(AND(PHY_MAJOR_VERSION=4, PHY_MODE=0), 'DSI PHY 4.0.0 DPHY timing'!B51,
IF(PHY_MAJOR_VERSION&lt;&gt;2, "",
'DSI PHY 2.0.0 timing setting'!B52)))</f>
        <v/>
      </c>
    </row>
    <row r="95" spans="2:3" x14ac:dyDescent="0.2">
      <c r="B95" s="10" t="str">
        <f>IF(PHY_MAJOR_VERSION="SDM4x9", 'SDM439 DPHY timing'!A56,
IF(PHY_MAJOR_VERSION&lt;&gt;2, "",
'DSI PHY 2.0.0 timing setting'!A53))</f>
        <v/>
      </c>
      <c r="C95" s="10" t="str">
        <f>IF(PHY_MAJOR_VERSION="SDM4x9", 'SDM439 DPHY timing'!B53,
IF(PHY_MAJOR_VERSION&lt;&gt;2, "",
'DSI PHY 2.0.0 timing setting'!B53))</f>
        <v/>
      </c>
    </row>
    <row r="96" spans="2:3" x14ac:dyDescent="0.2">
      <c r="B96" s="10" t="str">
        <f>IF(PHY_MAJOR_VERSION="SDM4x9", 'SDM439 DPHY timing'!A57,IF(PHY_MAJOR_VERSION&lt;&gt;2, "", 'DSI PHY 2.0.0 timing setting'!A54))</f>
        <v/>
      </c>
      <c r="C96" s="10" t="str">
        <f>IF(PHY_MAJOR_VERSION="SDM4x9", 'SDM439 DPHY timing'!B53,
IF(PHY_MAJOR_VERSION&lt;&gt;2, "",
'DSI PHY 2.0.0 timing setting'!B54))</f>
        <v/>
      </c>
    </row>
    <row r="97" spans="2:4" x14ac:dyDescent="0.2">
      <c r="B97" s="10" t="str">
        <f>IF(PHY_MAJOR_VERSION="SDM4x9", 'SDM439 DPHY timing'!A58, "")</f>
        <v/>
      </c>
      <c r="C97" s="10" t="str">
        <f>IF(PHY_MAJOR_VERSION="SDM4x9", 'SDM439 DPHY timing'!B58, "")</f>
        <v/>
      </c>
    </row>
    <row r="98" spans="2:4" x14ac:dyDescent="0.2">
      <c r="B98" s="10" t="str">
        <f>IF(PHY_MAJOR_VERSION="SDM4x9", 'SDM439 DPHY timing'!A59, "")</f>
        <v/>
      </c>
      <c r="C98" s="10" t="str">
        <f>IF(PHY_MAJOR_VERSION="SDM4x9", 'SDM439 DPHY timing'!B59, "")</f>
        <v/>
      </c>
    </row>
    <row r="99" spans="2:4" x14ac:dyDescent="0.2">
      <c r="B99" s="10" t="str">
        <f>IF(PHY_MAJOR_VERSION="SDM4x9", 'SDM439 DPHY timing'!A60, "")</f>
        <v/>
      </c>
      <c r="C99" s="10" t="str">
        <f>IF(PHY_MAJOR_VERSION="SDM4x9", 'SDM439 DPHY timing'!B60, "")</f>
        <v/>
      </c>
    </row>
    <row r="100" spans="2:4" x14ac:dyDescent="0.2">
      <c r="B100" s="10" t="str">
        <f>IF(PHY_MAJOR_VERSION="SDM4x9", 'SDM439 DPHY timing'!A61, "")</f>
        <v/>
      </c>
      <c r="C100" s="10" t="str">
        <f>IF(PHY_MAJOR_VERSION="SDM4x9", 'SDM439 DPHY timing'!B61, "")</f>
        <v/>
      </c>
    </row>
    <row r="101" spans="2:4" x14ac:dyDescent="0.2">
      <c r="B101" s="10" t="str">
        <f>IF(PHY_MAJOR_VERSION="SDM4x9", 'SDM439 DPHY timing'!A62, "")</f>
        <v/>
      </c>
      <c r="C101" s="10" t="str">
        <f>IF(PHY_MAJOR_VERSION="SDM4x9", 'SDM439 DPHY timing'!B62, "")</f>
        <v/>
      </c>
    </row>
    <row r="102" spans="2:4" x14ac:dyDescent="0.2">
      <c r="B102" s="10" t="str">
        <f>IF(PHY_MAJOR_VERSION="SDM4x9", 'SDM439 DPHY timing'!A63, "")</f>
        <v/>
      </c>
      <c r="C102" s="10" t="str">
        <f>IF(PHY_MAJOR_VERSION="SDM4x9", 'SDM439 DPHY timing'!B63, "")</f>
        <v/>
      </c>
    </row>
    <row r="104" spans="2:4" ht="23.25" x14ac:dyDescent="0.35">
      <c r="B104" s="45" t="s">
        <v>27</v>
      </c>
      <c r="C104" s="3"/>
    </row>
    <row r="105" spans="2:4" x14ac:dyDescent="0.2">
      <c r="B105" t="s">
        <v>84</v>
      </c>
      <c r="C105" s="9">
        <f>IF(PHY_MODE=0, C34*C35*C2*C4*8*0.000001/C3,
C34*C35*C2*C4*8*0.000001/C3 * 7/16)</f>
        <v>2010.4199999999998</v>
      </c>
      <c r="D105" t="s">
        <v>15</v>
      </c>
    </row>
    <row r="106" spans="2:4" x14ac:dyDescent="0.2">
      <c r="B106" t="s">
        <v>85</v>
      </c>
      <c r="C106" s="9">
        <f>IF(PHY_MODE=0, C105/8, C105/7)</f>
        <v>251.30249999999998</v>
      </c>
      <c r="D106" t="s">
        <v>15</v>
      </c>
    </row>
    <row r="107" spans="2:4" hidden="1" x14ac:dyDescent="0.2">
      <c r="B107" t="s">
        <v>86</v>
      </c>
      <c r="C107" s="9">
        <f>C106*C3</f>
        <v>1005.2099999999999</v>
      </c>
      <c r="D107" t="s">
        <v>15</v>
      </c>
    </row>
    <row r="108" spans="2:4" x14ac:dyDescent="0.2">
      <c r="B108" t="s">
        <v>87</v>
      </c>
      <c r="C108" s="9">
        <f>IF(PHY_MODE=0, C106*C3/C4, C106*C3*2/C4)</f>
        <v>335.07</v>
      </c>
      <c r="D108" t="s">
        <v>15</v>
      </c>
    </row>
    <row r="109" spans="2:4" x14ac:dyDescent="0.2">
      <c r="C109" s="9"/>
    </row>
    <row r="110" spans="2:4" x14ac:dyDescent="0.2">
      <c r="C110" s="44"/>
    </row>
    <row r="111" spans="2:4" x14ac:dyDescent="0.2">
      <c r="B111" s="43" t="s">
        <v>70</v>
      </c>
      <c r="C111" s="41"/>
      <c r="D111" s="41"/>
    </row>
    <row r="112" spans="2:4" x14ac:dyDescent="0.2">
      <c r="B112" s="41" t="s">
        <v>68</v>
      </c>
      <c r="C112" s="41">
        <f>(C36-1)*100</f>
        <v>34.657118055555557</v>
      </c>
      <c r="D112" s="41" t="s">
        <v>69</v>
      </c>
    </row>
    <row r="113" spans="2:4" x14ac:dyDescent="0.2">
      <c r="B113" s="41" t="s">
        <v>109</v>
      </c>
      <c r="C113" s="42">
        <f>C34/C108</f>
        <v>7.4074074074074074</v>
      </c>
      <c r="D113" s="41" t="s">
        <v>150</v>
      </c>
    </row>
    <row r="114" spans="2:4" x14ac:dyDescent="0.2">
      <c r="B114" s="41" t="s">
        <v>66</v>
      </c>
      <c r="C114" s="42">
        <f>C13/C108</f>
        <v>1.1519980899513536</v>
      </c>
      <c r="D114" s="41" t="s">
        <v>150</v>
      </c>
    </row>
    <row r="115" spans="2:4" x14ac:dyDescent="0.2">
      <c r="B115" s="41" t="s">
        <v>30</v>
      </c>
      <c r="C115" s="42">
        <f>C6/C108</f>
        <v>5.7301459396544008</v>
      </c>
      <c r="D115" s="41" t="s">
        <v>150</v>
      </c>
    </row>
    <row r="116" spans="2:4" x14ac:dyDescent="0.2">
      <c r="B116" s="41" t="s">
        <v>31</v>
      </c>
      <c r="C116" s="42">
        <f>C14/C108</f>
        <v>0.52526337780165344</v>
      </c>
      <c r="D116" s="41" t="s">
        <v>150</v>
      </c>
    </row>
    <row r="117" spans="2:4" x14ac:dyDescent="0.2">
      <c r="B117" s="41" t="s">
        <v>264</v>
      </c>
      <c r="C117" s="41">
        <f>0.001*
IF(PHY_MAJOR_VERSION="SDM4x9", 'SDM439 DPHY timing'!B37,
IF(AND(PHY_MAJOR_VERSION=4, PHY_MODE=0), 'DSI PHY 4.0.0 DPHY timing'!H28,
IF(AND(PHY_MAJOR_VERSION=4, PHY_MODE=1), 'DSI PHY 4.0.0 CPHY timing'!H19,
IF(PHY_MAJOR_VERSION=3, 'DSI PHY 3.0.0 DPHY timing'!H28,
IF(PHY_MAJOR_VERSION=2, 'DSI PHY 2.0.0 timing setting'!H30,
'DSI PHY timing setting'!H25
)))))</f>
        <v>1.4451181592039801</v>
      </c>
      <c r="D117" s="41" t="s">
        <v>150</v>
      </c>
    </row>
    <row r="118" spans="2:4" x14ac:dyDescent="0.2">
      <c r="B118" s="41" t="s">
        <v>265</v>
      </c>
      <c r="C118" s="41">
        <f>IF(PHY_MAJOR_VERSION="SDM4x9", ROUNDUP(13/C108+24/C106+C117, 2),
(IF(PHY_MAJOR_VERSION=4,
ROUNDUP(IF(C28=0, 13/C108+44/C106+272/C105+C117,
                                      13/C108+30/C106+140/C105+C117), 2),
ROUNDUP(IF(C28=0, 13/C108+24/C106+272/C105+C117,
                                      13/C108+20/C106+140/C105+C117), 2))))</f>
        <v>1.72</v>
      </c>
      <c r="D118" s="41" t="s">
        <v>150</v>
      </c>
    </row>
    <row r="123" spans="2:4" ht="23.25" x14ac:dyDescent="0.35">
      <c r="B123" s="45" t="s">
        <v>567</v>
      </c>
    </row>
    <row r="124" spans="2:4" ht="7.7" customHeight="1" x14ac:dyDescent="0.2">
      <c r="B124" s="3" t="s">
        <v>558</v>
      </c>
    </row>
    <row r="125" spans="2:4" ht="9.6" customHeight="1" x14ac:dyDescent="0.2">
      <c r="B125" s="116" t="s">
        <v>560</v>
      </c>
      <c r="C125" s="116">
        <v>2</v>
      </c>
    </row>
    <row r="126" spans="2:4" ht="9.6" customHeight="1" x14ac:dyDescent="0.2">
      <c r="B126" s="116" t="s">
        <v>561</v>
      </c>
      <c r="C126" s="116">
        <v>3</v>
      </c>
    </row>
    <row r="127" spans="2:4" x14ac:dyDescent="0.2">
      <c r="B127" s="116" t="s">
        <v>557</v>
      </c>
      <c r="C127" s="116">
        <v>1</v>
      </c>
    </row>
    <row r="128" spans="2:4" x14ac:dyDescent="0.2">
      <c r="B128" t="s">
        <v>550</v>
      </c>
      <c r="C128">
        <f>4 / C3 * (1/C106)</f>
        <v>3.9792680136488895E-3</v>
      </c>
    </row>
    <row r="129" spans="2:3" x14ac:dyDescent="0.2">
      <c r="B129" t="s">
        <v>551</v>
      </c>
      <c r="C129">
        <f>C11*(1/C108)</f>
        <v>0.26263168890082667</v>
      </c>
    </row>
    <row r="130" spans="2:3" x14ac:dyDescent="0.2">
      <c r="B130" t="s">
        <v>565</v>
      </c>
      <c r="C130">
        <f>IF(OR(C125&lt;2, AND(C125=22, C126&lt;3)), 2, 1)*C118</f>
        <v>1.72</v>
      </c>
    </row>
    <row r="131" spans="2:3" x14ac:dyDescent="0.2">
      <c r="B131" t="s">
        <v>566</v>
      </c>
      <c r="C131">
        <f>C118</f>
        <v>1.72</v>
      </c>
    </row>
    <row r="132" spans="2:3" x14ac:dyDescent="0.2">
      <c r="B132" t="s">
        <v>563</v>
      </c>
      <c r="C132">
        <f>INT((C113-C130-IF(C127=0, C129, C128))/(1/C106))</f>
        <v>1428</v>
      </c>
    </row>
    <row r="133" spans="2:3" x14ac:dyDescent="0.2">
      <c r="B133" t="s">
        <v>564</v>
      </c>
      <c r="C133">
        <f>INT(((C113-C131-IF(C127=0, C129, C128))/(1/C21)-14)/16)</f>
        <v>5</v>
      </c>
    </row>
    <row r="135" spans="2:3" x14ac:dyDescent="0.2">
      <c r="B135" s="3" t="s">
        <v>559</v>
      </c>
    </row>
    <row r="136" spans="2:3" x14ac:dyDescent="0.2">
      <c r="B136" s="116" t="s">
        <v>552</v>
      </c>
      <c r="C136" s="116">
        <v>4</v>
      </c>
    </row>
    <row r="137" spans="2:3" x14ac:dyDescent="0.2">
      <c r="B137" s="116" t="s">
        <v>553</v>
      </c>
      <c r="C137" s="116">
        <v>50</v>
      </c>
    </row>
    <row r="138" spans="2:3" x14ac:dyDescent="0.2">
      <c r="B138" s="116" t="s">
        <v>554</v>
      </c>
      <c r="C138" s="116">
        <v>0</v>
      </c>
    </row>
    <row r="139" spans="2:3" x14ac:dyDescent="0.2">
      <c r="B139" s="116" t="s">
        <v>557</v>
      </c>
      <c r="C139" s="116">
        <v>1</v>
      </c>
    </row>
    <row r="140" spans="2:3" x14ac:dyDescent="0.2">
      <c r="B140" t="s">
        <v>555</v>
      </c>
      <c r="C140">
        <f>IF(C138=0, C136/C3*1000/C106, (14+C136*16)*(1000/C21))</f>
        <v>3.9792680136488894</v>
      </c>
    </row>
    <row r="141" spans="2:3" x14ac:dyDescent="0.2">
      <c r="B141" t="s">
        <v>562</v>
      </c>
      <c r="C141">
        <f>1000 * (C113 - IF(C139=0, C129, C128) - IF(C138=0, C130,C131))</f>
        <v>5683.428139393759</v>
      </c>
    </row>
    <row r="142" spans="2:3" x14ac:dyDescent="0.2">
      <c r="B142" t="s">
        <v>556</v>
      </c>
      <c r="C142">
        <f>INT(((C141-C140-12/C21-12*C137)/C137-20)/16)</f>
        <v>5</v>
      </c>
    </row>
  </sheetData>
  <mergeCells count="1">
    <mergeCell ref="D45:D47"/>
  </mergeCells>
  <phoneticPr fontId="51" type="noConversion"/>
  <conditionalFormatting sqref="E15">
    <cfRule type="containsText" dxfId="5" priority="1" operator="containsText" text="ok">
      <formula>NOT(ISERROR(SEARCH("ok",E15)))</formula>
    </cfRule>
    <cfRule type="containsText" dxfId="4" priority="2" operator="containsText" text="too short">
      <formula>NOT(ISERROR(SEARCH("too short",E15)))</formula>
    </cfRule>
  </conditionalFormatting>
  <pageMargins left="0.25" right="0.25" top="0.75" bottom="0.65" header="0.3" footer="0.3"/>
  <pageSetup scale="77" orientation="portrait" r:id="rId1"/>
  <headerFooter scaleWithDoc="0">
    <oddFooter xml:space="preserve">&amp;L&amp;"Arial"&amp;8 80-NH713-1 YG
&amp;C&amp;"Arial"&amp;8Confidential – Qualcomm Technologies, Inc. and/or its affiliated companies – May Contain Trade Secrets
&amp;"Arial,Bold"&amp;8MAY CONTAIN U.S. AND INTERNATIONAL EXPORT CONTROLLED INFORMATION&amp;R&amp;"Arial"&amp;8 &amp;P
</oddFooter>
  </headerFooter>
  <rowBreaks count="1" manualBreakCount="1">
    <brk id="47" max="16383" man="1"/>
  </rowBreaks>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0000000}">
          <x14:formula1>
            <xm:f>'User Instructions'!$B$3:$B$54</xm:f>
          </x14:formula1>
          <xm:sqref>C24</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pageSetUpPr fitToPage="1"/>
  </sheetPr>
  <dimension ref="A1:I51"/>
  <sheetViews>
    <sheetView workbookViewId="0">
      <selection activeCell="G39" sqref="G39"/>
    </sheetView>
  </sheetViews>
  <sheetFormatPr defaultColWidth="9.140625" defaultRowHeight="12.75" x14ac:dyDescent="0.2"/>
  <cols>
    <col min="1" max="1" width="44" customWidth="1"/>
    <col min="2" max="2" width="16" customWidth="1"/>
    <col min="3" max="3" width="19.28515625" customWidth="1"/>
    <col min="4" max="4" width="11.5703125" customWidth="1"/>
    <col min="5" max="6" width="12.140625" customWidth="1"/>
    <col min="7" max="7" width="24.7109375" customWidth="1"/>
    <col min="8" max="8" width="16" customWidth="1"/>
    <col min="11" max="11" width="5.85546875" customWidth="1"/>
  </cols>
  <sheetData>
    <row r="1" spans="1:9" ht="18" x14ac:dyDescent="0.25">
      <c r="A1" s="8" t="s">
        <v>80</v>
      </c>
    </row>
    <row r="2" spans="1:9" ht="18" x14ac:dyDescent="0.25">
      <c r="A2" s="12" t="s">
        <v>125</v>
      </c>
      <c r="B2" s="11"/>
      <c r="G2" s="15"/>
    </row>
    <row r="3" spans="1:9" x14ac:dyDescent="0.2">
      <c r="A3" s="22" t="s">
        <v>96</v>
      </c>
      <c r="B3" s="62">
        <f>ROUNDDOWN('DSI and MDP registers'!C105, 0)</f>
        <v>2010</v>
      </c>
      <c r="C3" t="s">
        <v>97</v>
      </c>
    </row>
    <row r="4" spans="1:9" x14ac:dyDescent="0.2">
      <c r="A4" s="22" t="s">
        <v>33</v>
      </c>
      <c r="B4" s="63">
        <f>'DSI and MDP registers'!C21/'DSI and MDP registers'!C22</f>
        <v>19.2</v>
      </c>
      <c r="C4" t="s">
        <v>15</v>
      </c>
      <c r="E4" s="28" t="s">
        <v>100</v>
      </c>
      <c r="F4" s="23"/>
      <c r="G4" s="19" t="str">
        <f>IF(MOD(($F$16+$G$10+$F$11),8)=0,"VALID","INVALID")</f>
        <v>INVALID</v>
      </c>
    </row>
    <row r="5" spans="1:9" x14ac:dyDescent="0.2">
      <c r="A5" s="22" t="s">
        <v>36</v>
      </c>
      <c r="B5" s="16">
        <f>10^3/B3</f>
        <v>0.49751243781094528</v>
      </c>
      <c r="C5" t="s">
        <v>37</v>
      </c>
    </row>
    <row r="6" spans="1:9" x14ac:dyDescent="0.2">
      <c r="A6" s="22" t="s">
        <v>46</v>
      </c>
      <c r="B6" s="16">
        <f>10^3/B4</f>
        <v>52.083333333333336</v>
      </c>
      <c r="C6" t="s">
        <v>37</v>
      </c>
    </row>
    <row r="7" spans="1:9" x14ac:dyDescent="0.2">
      <c r="A7" s="22" t="s">
        <v>89</v>
      </c>
      <c r="B7" s="23">
        <v>20</v>
      </c>
      <c r="C7" t="s">
        <v>37</v>
      </c>
    </row>
    <row r="8" spans="1:9" x14ac:dyDescent="0.2">
      <c r="A8" s="26"/>
      <c r="B8" s="127" t="s">
        <v>92</v>
      </c>
      <c r="C8" s="128"/>
      <c r="D8" s="129" t="s">
        <v>77</v>
      </c>
      <c r="E8" s="129"/>
      <c r="F8" s="129"/>
      <c r="G8" s="39" t="s">
        <v>126</v>
      </c>
      <c r="H8" s="130" t="s">
        <v>180</v>
      </c>
      <c r="I8" s="6"/>
    </row>
    <row r="9" spans="1:9" s="3" customFormat="1" x14ac:dyDescent="0.2">
      <c r="A9" s="27"/>
      <c r="B9" s="24" t="s">
        <v>50</v>
      </c>
      <c r="C9" s="17" t="s">
        <v>51</v>
      </c>
      <c r="D9" s="40" t="s">
        <v>63</v>
      </c>
      <c r="E9" s="40" t="s">
        <v>64</v>
      </c>
      <c r="F9" s="18"/>
      <c r="G9" s="39" t="s">
        <v>49</v>
      </c>
      <c r="H9" s="131"/>
      <c r="I9" s="6"/>
    </row>
    <row r="10" spans="1:9" x14ac:dyDescent="0.2">
      <c r="A10" s="27" t="s">
        <v>32</v>
      </c>
      <c r="B10" s="25">
        <v>38</v>
      </c>
      <c r="C10" s="19">
        <v>95</v>
      </c>
      <c r="D10" s="16">
        <f>ROUNDUP(B10/$B$5, 0) - 2</f>
        <v>75</v>
      </c>
      <c r="E10" s="16">
        <f>ROUNDUP(C10/$B$5, 0) - 2</f>
        <v>189</v>
      </c>
      <c r="F10" s="16">
        <f>IF(MOD(ROUNDUP((E10-D10)*($F$48/100)+D10, 0),2)=0, ROUNDUP((E10-D10)*($F$48/100)+D10, 0), ROUNDUP((E10-D10)*($F$48/100)+D10, 0)-1)</f>
        <v>86</v>
      </c>
      <c r="G10" s="20">
        <f>F10</f>
        <v>86</v>
      </c>
      <c r="H10" s="16">
        <f>(QUOTIENT(G10,2)+1)*2*$B$5</f>
        <v>43.781094527363187</v>
      </c>
    </row>
    <row r="11" spans="1:9" x14ac:dyDescent="0.2">
      <c r="A11" s="27" t="s">
        <v>34</v>
      </c>
      <c r="B11" s="25">
        <f>300-H10</f>
        <v>256.21890547263683</v>
      </c>
      <c r="C11" s="19"/>
      <c r="D11" s="16">
        <f>ROUNDUP(B11/$B$5, 0) - 2</f>
        <v>513</v>
      </c>
      <c r="E11" s="16">
        <f>IF(D11&gt; 255, 511, 255)</f>
        <v>511</v>
      </c>
      <c r="F11" s="16">
        <v>226</v>
      </c>
      <c r="G11" s="20" t="str">
        <f>IF(MOD(($F$16 + $G$10 + $F$11), 8)=0, $F$11, "INVALID")</f>
        <v>INVALID</v>
      </c>
      <c r="H11" s="16" t="e">
        <f>(QUOTIENT(G11,2)+1)*2*$B$5</f>
        <v>#VALUE!</v>
      </c>
    </row>
    <row r="12" spans="1:9" x14ac:dyDescent="0.2">
      <c r="A12" s="27" t="s">
        <v>35</v>
      </c>
      <c r="B12" s="25">
        <v>60</v>
      </c>
      <c r="C12" s="19">
        <f>C22-$B$7</f>
        <v>90.97014925373135</v>
      </c>
      <c r="D12" s="16">
        <f>ROUNDUP(B12/$B$5, 0) - 2</f>
        <v>119</v>
      </c>
      <c r="E12" s="16">
        <f>ROUNDUP(C12/$B$5, 0) - 2</f>
        <v>181</v>
      </c>
      <c r="F12" s="16">
        <f>IF(MOD(ROUNDUP((E12-D12)*($F$51/100)+D12, 0),2)=0, ROUNDUP((E12-D12)*($F$51/100)+D12, 0), ROUNDUP((E12-D12)*($F$51/100)+D12, 0)-1)</f>
        <v>126</v>
      </c>
      <c r="G12" s="20">
        <f>IF(F12 &lt; 0, 0, F12)</f>
        <v>126</v>
      </c>
      <c r="H12" s="16">
        <f t="shared" ref="H12:H17" si="0">(QUOTIENT(G12,2)+1)*2*$B$5</f>
        <v>63.681592039800996</v>
      </c>
    </row>
    <row r="13" spans="1:9" x14ac:dyDescent="0.2">
      <c r="A13" s="27" t="s">
        <v>38</v>
      </c>
      <c r="B13" s="25">
        <f>40+4*B5</f>
        <v>41.990049751243781</v>
      </c>
      <c r="C13" s="19">
        <f>85+6*B5</f>
        <v>87.985074626865668</v>
      </c>
      <c r="D13" s="16">
        <f>ROUNDUP(B13/$B$5, 0) - 2</f>
        <v>83</v>
      </c>
      <c r="E13" s="16">
        <f>ROUNDUP(C13/$B$5, 0) - 2</f>
        <v>175</v>
      </c>
      <c r="F13" s="16">
        <f>IF(MOD(ROUNDUP((E13-D13)*($F$49/100)+D13, 0),2)=0, ROUNDUP((E13-D13)*($F$49/100)+D13, 0), ROUNDUP((E13-D13)*($F$49/100)+D13, 0)-1)</f>
        <v>96</v>
      </c>
      <c r="G13" s="20">
        <f>IF(F13 &lt; 0, 0, F13)</f>
        <v>96</v>
      </c>
      <c r="H13" s="16">
        <f>(QUOTIENT(G13,2)+1)*2*$B$5 + 2*$B$5</f>
        <v>49.75124378109453</v>
      </c>
    </row>
    <row r="14" spans="1:9" x14ac:dyDescent="0.2">
      <c r="A14" s="27" t="s">
        <v>39</v>
      </c>
      <c r="B14" s="25">
        <f>145+10*B5-H13</f>
        <v>100.22388059701493</v>
      </c>
      <c r="C14" s="19"/>
      <c r="D14" s="16">
        <f>ROUNDUP(B14/$B$5, 0) - 2</f>
        <v>200</v>
      </c>
      <c r="E14" s="16">
        <v>255</v>
      </c>
      <c r="F14" s="16">
        <f>IF(MOD(ROUNDUP((E14-D14)*($F$50/100)+D14, 0),2)=0, ROUNDUP((E14-D14)*($F$50/100)+D14, 0), ROUNDUP((E14-D14)*($F$50/100)+D14, 0)-1)</f>
        <v>206</v>
      </c>
      <c r="G14" s="20">
        <f>IF(F14&lt;24,24,F14)</f>
        <v>206</v>
      </c>
      <c r="H14" s="16">
        <f t="shared" si="0"/>
        <v>103.48258706467662</v>
      </c>
    </row>
    <row r="15" spans="1:9" x14ac:dyDescent="0.2">
      <c r="A15" s="27" t="s">
        <v>40</v>
      </c>
      <c r="B15" s="25">
        <f xml:space="preserve"> 60+4*B5</f>
        <v>61.990049751243781</v>
      </c>
      <c r="C15" s="19">
        <f>C21-$B$7</f>
        <v>90.97014925373135</v>
      </c>
      <c r="D15" s="16">
        <f>ROUNDUP(B15/$B$5, 0) - 2</f>
        <v>123</v>
      </c>
      <c r="E15" s="16">
        <f>ROUNDUP(C15/$B$5, 0) - 2</f>
        <v>181</v>
      </c>
      <c r="F15" s="16">
        <f>IF(MOD(ROUNDUP((E15-D15)*($F$51/100)+D15, 0),2)=0, ROUNDUP((E15-D15)*($F$51/100)+D15, 0), ROUNDUP((E15-D15)*($F$51/100)+D15, 0)-1)</f>
        <v>128</v>
      </c>
      <c r="G15" s="20">
        <f>IF(F15&lt;0, 0, F15)</f>
        <v>128</v>
      </c>
      <c r="H15" s="16">
        <f t="shared" si="0"/>
        <v>64.676616915422883</v>
      </c>
    </row>
    <row r="16" spans="1:9" x14ac:dyDescent="0.2">
      <c r="A16" s="27" t="s">
        <v>41</v>
      </c>
      <c r="B16" s="25"/>
      <c r="C16" s="19"/>
      <c r="D16" s="16"/>
      <c r="E16" s="16"/>
      <c r="F16" s="16">
        <f>IF(MOD(ROUNDDOWN($B$6/$B$5, 0),2)=0, ROUNDDOWN($B$6/$B$5, 0)-2, ROUNDDOWN($B$6/$B$5,0))</f>
        <v>102</v>
      </c>
      <c r="G16" s="20">
        <f>IF(F16&lt;0, 0, F16)</f>
        <v>102</v>
      </c>
      <c r="H16" s="16">
        <f t="shared" si="0"/>
        <v>51.741293532338311</v>
      </c>
    </row>
    <row r="17" spans="1:8" x14ac:dyDescent="0.2">
      <c r="A17" s="27" t="s">
        <v>42</v>
      </c>
      <c r="B17" s="25">
        <v>100</v>
      </c>
      <c r="C17" s="19"/>
      <c r="D17" s="16">
        <f>ROUNDUP(B17/$B$5, 0) - 2</f>
        <v>199</v>
      </c>
      <c r="E17" s="16">
        <v>255</v>
      </c>
      <c r="F17" s="16">
        <f>IF(MOD(ROUNDUP((E17-D17)*($F$50/100)+D17, 0),2)=0, ROUNDUP((E17-D17)*($F$50/100)+D17, 0), ROUNDUP((E17-D17)*($F$50/100)+D17, 0)-1)</f>
        <v>204</v>
      </c>
      <c r="G17" s="20">
        <f>IF(F17&lt;0, 0, F17)</f>
        <v>204</v>
      </c>
      <c r="H17" s="16">
        <f t="shared" si="0"/>
        <v>102.48756218905473</v>
      </c>
    </row>
    <row r="18" spans="1:8" x14ac:dyDescent="0.2">
      <c r="A18" s="27" t="s">
        <v>43</v>
      </c>
      <c r="B18" s="25">
        <f>4*B6</f>
        <v>208.33333333333334</v>
      </c>
      <c r="C18" s="19">
        <f>4*B6</f>
        <v>208.33333333333334</v>
      </c>
      <c r="D18" s="16"/>
      <c r="E18" s="16"/>
      <c r="F18" s="16">
        <f>B18</f>
        <v>208.33333333333334</v>
      </c>
      <c r="G18" s="20">
        <v>3</v>
      </c>
      <c r="H18" s="16">
        <f>(G18+1)*10^3/$B$4</f>
        <v>208.33333333333334</v>
      </c>
    </row>
    <row r="19" spans="1:8" x14ac:dyDescent="0.2">
      <c r="A19" s="27" t="s">
        <v>45</v>
      </c>
      <c r="B19" s="25">
        <f>B6</f>
        <v>52.083333333333336</v>
      </c>
      <c r="C19" s="19">
        <f>2*B6</f>
        <v>104.16666666666667</v>
      </c>
      <c r="D19" s="16"/>
      <c r="E19" s="16"/>
      <c r="F19" s="16">
        <f>B19</f>
        <v>52.083333333333336</v>
      </c>
      <c r="G19" s="20">
        <v>0</v>
      </c>
      <c r="H19" s="16">
        <f>(G19+2)*10^3/$B$4</f>
        <v>104.16666666666667</v>
      </c>
    </row>
    <row r="20" spans="1:8" x14ac:dyDescent="0.2">
      <c r="A20" s="27" t="s">
        <v>44</v>
      </c>
      <c r="B20" s="25">
        <f>5*B6</f>
        <v>260.41666666666669</v>
      </c>
      <c r="C20" s="19">
        <f>5*B6</f>
        <v>260.41666666666669</v>
      </c>
      <c r="D20" s="16"/>
      <c r="E20" s="16"/>
      <c r="F20" s="16">
        <f>B20</f>
        <v>260.41666666666669</v>
      </c>
      <c r="G20" s="20">
        <v>4</v>
      </c>
      <c r="H20" s="16">
        <f>(G20+1)*10^3/$B$4</f>
        <v>260.41666666666669</v>
      </c>
    </row>
    <row r="21" spans="1:8" x14ac:dyDescent="0.2">
      <c r="A21" s="27" t="s">
        <v>90</v>
      </c>
      <c r="B21" s="25"/>
      <c r="C21" s="19">
        <f>105+12*$B$5</f>
        <v>110.97014925373135</v>
      </c>
      <c r="D21" s="16"/>
      <c r="E21" s="16"/>
      <c r="F21" s="16"/>
      <c r="G21" s="21"/>
      <c r="H21" s="16">
        <f>H15+$B$7/2</f>
        <v>74.676616915422883</v>
      </c>
    </row>
    <row r="22" spans="1:8" x14ac:dyDescent="0.2">
      <c r="A22" s="27" t="s">
        <v>91</v>
      </c>
      <c r="B22" s="25"/>
      <c r="C22" s="19">
        <f>105+12*$B$5</f>
        <v>110.97014925373135</v>
      </c>
      <c r="D22" s="16"/>
      <c r="E22" s="16"/>
      <c r="F22" s="16"/>
      <c r="G22" s="21"/>
      <c r="H22" s="16">
        <f>H12 + $B$7/2</f>
        <v>73.681592039800989</v>
      </c>
    </row>
    <row r="23" spans="1:8" x14ac:dyDescent="0.2">
      <c r="A23" s="27" t="s">
        <v>47</v>
      </c>
      <c r="B23" s="25">
        <f>60+52*B5</f>
        <v>85.870646766169159</v>
      </c>
      <c r="C23" s="19"/>
      <c r="D23" s="16">
        <f>ROUNDUP((B23-24*B5-H17)/(8*B5), 0)-1</f>
        <v>-9</v>
      </c>
      <c r="E23" s="16">
        <v>63</v>
      </c>
      <c r="F23" s="16">
        <f>ROUNDUP((E23-D23)*($F$50/100)+D23, 0)</f>
        <v>-2</v>
      </c>
      <c r="G23" s="20">
        <f>IF(F23&lt;0, 0, F23)</f>
        <v>0</v>
      </c>
      <c r="H23" s="16">
        <f>(G23+1)*8*B5+H17+24*B5</f>
        <v>118.40796019900498</v>
      </c>
    </row>
    <row r="24" spans="1:8" x14ac:dyDescent="0.2">
      <c r="A24" s="27" t="s">
        <v>48</v>
      </c>
      <c r="B24" s="25">
        <f>8*B5</f>
        <v>3.9800995024875623</v>
      </c>
      <c r="C24" s="19"/>
      <c r="D24" s="16" t="e">
        <f>ROUNDUP((B24+$H$10+$H$11+$B$6)/(8*$B$5),0)-1</f>
        <v>#VALUE!</v>
      </c>
      <c r="E24" s="16">
        <v>63</v>
      </c>
      <c r="F24" s="16" t="e">
        <f>IF(D24&gt;63, ROUNDUP((E24*2-D24)*($F$50/100)+D24, 0), ROUNDUP((E24-D24)*($F$50/100)+D24, 0))</f>
        <v>#VALUE!</v>
      </c>
      <c r="G24" s="20" t="e">
        <f>IF(F24&lt;0, 0, IF(D24&gt;E24, ROUNDDOWN(F24/2, 0), F24))</f>
        <v>#VALUE!</v>
      </c>
      <c r="H24" s="16" t="e">
        <f>IF(D24&gt;E24,(G24+1)*16*B5-B6-H10-H11,(G24+1)*8*B5-B6-H10-H11)</f>
        <v>#VALUE!</v>
      </c>
    </row>
    <row r="25" spans="1:8" x14ac:dyDescent="0.2">
      <c r="A25" s="27" t="s">
        <v>127</v>
      </c>
      <c r="B25" s="3"/>
      <c r="C25" s="3"/>
      <c r="D25" s="5"/>
      <c r="H25" s="16" t="e">
        <f>SUM(H10:H17) + SUM(H23:H24)  +B6+8*B5</f>
        <v>#VALUE!</v>
      </c>
    </row>
    <row r="26" spans="1:8" x14ac:dyDescent="0.2">
      <c r="A26" s="27"/>
      <c r="B26" s="6"/>
      <c r="C26" s="6"/>
      <c r="D26" s="3"/>
      <c r="E26" s="3"/>
      <c r="F26" s="5"/>
      <c r="G26" s="4"/>
    </row>
    <row r="27" spans="1:8" ht="18" x14ac:dyDescent="0.25">
      <c r="A27" s="64" t="s">
        <v>79</v>
      </c>
    </row>
    <row r="28" spans="1:8" x14ac:dyDescent="0.2">
      <c r="A28" s="27" t="s">
        <v>149</v>
      </c>
      <c r="B28" s="28" t="s">
        <v>128</v>
      </c>
      <c r="C28" s="3"/>
    </row>
    <row r="29" spans="1:8" x14ac:dyDescent="0.2">
      <c r="A29" s="27" t="s">
        <v>136</v>
      </c>
      <c r="B29" s="23" t="e">
        <f>IF(F11&gt;255, DEC2HEX(G11 - 255), DEC2HEX(G11))</f>
        <v>#VALUE!</v>
      </c>
      <c r="C29" s="13"/>
    </row>
    <row r="30" spans="1:8" x14ac:dyDescent="0.2">
      <c r="A30" s="27" t="s">
        <v>137</v>
      </c>
      <c r="B30" s="23" t="str">
        <f>DEC2HEX(G12)</f>
        <v>7E</v>
      </c>
      <c r="C30" s="13"/>
    </row>
    <row r="31" spans="1:8" x14ac:dyDescent="0.2">
      <c r="A31" s="27" t="s">
        <v>138</v>
      </c>
      <c r="B31" s="23" t="str">
        <f>DEC2HEX(G10)</f>
        <v>56</v>
      </c>
      <c r="C31" s="13"/>
    </row>
    <row r="32" spans="1:8" x14ac:dyDescent="0.2">
      <c r="A32" s="27" t="s">
        <v>139</v>
      </c>
      <c r="B32" s="65">
        <f>IF(F11&gt;255, 1, 0)</f>
        <v>0</v>
      </c>
      <c r="C32" s="13"/>
    </row>
    <row r="33" spans="1:7" x14ac:dyDescent="0.2">
      <c r="A33" s="27" t="s">
        <v>140</v>
      </c>
      <c r="B33" s="23" t="str">
        <f>DEC2HEX(G17)</f>
        <v>CC</v>
      </c>
      <c r="C33" s="13"/>
    </row>
    <row r="34" spans="1:7" x14ac:dyDescent="0.2">
      <c r="A34" s="27" t="s">
        <v>141</v>
      </c>
      <c r="B34" s="23" t="str">
        <f>DEC2HEX(G14)</f>
        <v>CE</v>
      </c>
      <c r="C34" s="13"/>
      <c r="G34" t="s">
        <v>88</v>
      </c>
    </row>
    <row r="35" spans="1:7" x14ac:dyDescent="0.2">
      <c r="A35" s="27" t="s">
        <v>142</v>
      </c>
      <c r="B35" s="23" t="str">
        <f>DEC2HEX(G13)</f>
        <v>60</v>
      </c>
      <c r="C35" s="13"/>
    </row>
    <row r="36" spans="1:7" x14ac:dyDescent="0.2">
      <c r="A36" s="27" t="s">
        <v>143</v>
      </c>
      <c r="B36" s="23" t="str">
        <f>DEC2HEX(G15)</f>
        <v>80</v>
      </c>
      <c r="C36" s="13"/>
    </row>
    <row r="37" spans="1:7" x14ac:dyDescent="0.2">
      <c r="A37" s="27" t="s">
        <v>144</v>
      </c>
      <c r="B37" s="23" t="str">
        <f>DEC2HEX(G16)</f>
        <v>66</v>
      </c>
      <c r="C37" s="13"/>
    </row>
    <row r="38" spans="1:7" x14ac:dyDescent="0.2">
      <c r="A38" s="27" t="s">
        <v>145</v>
      </c>
      <c r="B38" s="23" t="str">
        <f>DEC2HEX(G19*2^4+G18)</f>
        <v>3</v>
      </c>
      <c r="C38" s="13"/>
    </row>
    <row r="39" spans="1:7" x14ac:dyDescent="0.2">
      <c r="A39" s="27" t="s">
        <v>146</v>
      </c>
      <c r="B39" s="23" t="str">
        <f>DEC2HEX(G20)</f>
        <v>4</v>
      </c>
      <c r="C39" s="13"/>
    </row>
    <row r="40" spans="1:7" x14ac:dyDescent="0.2">
      <c r="A40" s="23"/>
      <c r="C40" s="13"/>
    </row>
    <row r="41" spans="1:7" ht="18" x14ac:dyDescent="0.25">
      <c r="A41" s="66" t="s">
        <v>81</v>
      </c>
      <c r="B41" s="23"/>
    </row>
    <row r="42" spans="1:7" x14ac:dyDescent="0.2">
      <c r="A42" s="27" t="s">
        <v>147</v>
      </c>
      <c r="B42" s="23" t="e">
        <f>DEC2HEX(G23*256+G24)</f>
        <v>#VALUE!</v>
      </c>
      <c r="C42" s="13"/>
    </row>
    <row r="43" spans="1:7" x14ac:dyDescent="0.2">
      <c r="A43" s="27" t="s">
        <v>148</v>
      </c>
      <c r="B43" s="65" t="e">
        <f>IF(E24 &lt; D24, 1, 0)</f>
        <v>#VALUE!</v>
      </c>
    </row>
    <row r="48" spans="1:7" x14ac:dyDescent="0.2">
      <c r="E48" s="14" t="s">
        <v>98</v>
      </c>
      <c r="F48">
        <v>10</v>
      </c>
    </row>
    <row r="49" spans="5:6" x14ac:dyDescent="0.2">
      <c r="E49" s="14" t="s">
        <v>99</v>
      </c>
      <c r="F49">
        <f>IF($B$3&gt;1200, 15, 10)</f>
        <v>15</v>
      </c>
    </row>
    <row r="50" spans="5:6" x14ac:dyDescent="0.2">
      <c r="E50" s="14" t="s">
        <v>93</v>
      </c>
      <c r="F50">
        <v>10</v>
      </c>
    </row>
    <row r="51" spans="5:6" x14ac:dyDescent="0.2">
      <c r="E51" s="14" t="s">
        <v>94</v>
      </c>
      <c r="F51">
        <f>IF($B$3&gt;180, 10, 40)</f>
        <v>10</v>
      </c>
    </row>
  </sheetData>
  <mergeCells count="3">
    <mergeCell ref="B8:C8"/>
    <mergeCell ref="D8:F8"/>
    <mergeCell ref="H8:H9"/>
  </mergeCells>
  <phoneticPr fontId="51" type="noConversion"/>
  <conditionalFormatting sqref="G10">
    <cfRule type="cellIs" dxfId="3" priority="4" operator="equal">
      <formula>IF(G4="INVALID",0)</formula>
    </cfRule>
  </conditionalFormatting>
  <conditionalFormatting sqref="G4">
    <cfRule type="cellIs" dxfId="2" priority="1" operator="equal">
      <formula>"VALID"</formula>
    </cfRule>
    <cfRule type="cellIs" dxfId="1" priority="3" operator="equal">
      <formula>"INVALID"</formula>
    </cfRule>
  </conditionalFormatting>
  <conditionalFormatting sqref="G11">
    <cfRule type="cellIs" dxfId="0" priority="2" operator="equal">
      <formula>"INVALID"</formula>
    </cfRule>
  </conditionalFormatting>
  <pageMargins left="0.25" right="0.25" top="0.75" bottom="0.65" header="0.3" footer="0.3"/>
  <pageSetup scale="77" orientation="portrait" r:id="rId1"/>
  <headerFooter scaleWithDoc="0">
    <oddFooter xml:space="preserve">&amp;L&amp;"Arial"&amp;8 80-NH713-1 YG
&amp;C&amp;"Arial"&amp;8Confidential – Qualcomm Technologies, Inc. and/or its affiliated companies – May Contain Trade Secrets
&amp;"Arial,Bold"&amp;8MAY CONTAIN U.S. AND INTERNATIONAL EXPORT CONTROLLED INFORMATION&amp;R&amp;"Arial"&amp;8 &amp;P
</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pageSetUpPr fitToPage="1"/>
  </sheetPr>
  <dimension ref="A1:I70"/>
  <sheetViews>
    <sheetView tabSelected="1" workbookViewId="0"/>
  </sheetViews>
  <sheetFormatPr defaultRowHeight="12.75" x14ac:dyDescent="0.2"/>
  <cols>
    <col min="1" max="1" width="40.140625" customWidth="1"/>
    <col min="2" max="2" width="13.85546875" customWidth="1"/>
    <col min="3" max="3" width="12.7109375" customWidth="1"/>
    <col min="4" max="4" width="9.28515625" customWidth="1"/>
    <col min="6" max="6" width="15.85546875" customWidth="1"/>
    <col min="7" max="7" width="25.5703125" customWidth="1"/>
    <col min="8" max="8" width="19.85546875" customWidth="1"/>
    <col min="11" max="11" width="14.42578125" customWidth="1"/>
  </cols>
  <sheetData>
    <row r="1" spans="1:9" ht="18" x14ac:dyDescent="0.25">
      <c r="A1" s="8" t="s">
        <v>80</v>
      </c>
    </row>
    <row r="2" spans="1:9" ht="18" x14ac:dyDescent="0.25">
      <c r="A2" s="12" t="s">
        <v>125</v>
      </c>
      <c r="B2" s="11"/>
      <c r="G2" s="15"/>
    </row>
    <row r="3" spans="1:9" x14ac:dyDescent="0.2">
      <c r="A3" s="22" t="s">
        <v>96</v>
      </c>
      <c r="B3" s="62">
        <f>ROUNDDOWN('DSI and MDP registers'!C105, 0)</f>
        <v>2010</v>
      </c>
      <c r="C3" t="s">
        <v>97</v>
      </c>
    </row>
    <row r="4" spans="1:9" x14ac:dyDescent="0.2">
      <c r="A4" s="22" t="s">
        <v>33</v>
      </c>
      <c r="B4" s="63">
        <f>'DSI and MDP registers'!C21/'DSI and MDP registers'!C22</f>
        <v>19.2</v>
      </c>
      <c r="C4" t="s">
        <v>15</v>
      </c>
    </row>
    <row r="5" spans="1:9" x14ac:dyDescent="0.2">
      <c r="A5" s="22" t="s">
        <v>36</v>
      </c>
      <c r="B5" s="16">
        <f>10^3/B3</f>
        <v>0.49751243781094528</v>
      </c>
      <c r="C5" t="s">
        <v>37</v>
      </c>
    </row>
    <row r="6" spans="1:9" x14ac:dyDescent="0.2">
      <c r="A6" s="22" t="s">
        <v>46</v>
      </c>
      <c r="B6" s="16">
        <f>10^3/B4</f>
        <v>52.083333333333336</v>
      </c>
      <c r="C6" t="s">
        <v>37</v>
      </c>
    </row>
    <row r="7" spans="1:9" x14ac:dyDescent="0.2">
      <c r="A7" s="22" t="s">
        <v>89</v>
      </c>
      <c r="B7" s="23">
        <v>20</v>
      </c>
      <c r="C7" t="s">
        <v>37</v>
      </c>
    </row>
    <row r="8" spans="1:9" x14ac:dyDescent="0.2">
      <c r="A8" s="26"/>
      <c r="B8" s="127" t="s">
        <v>92</v>
      </c>
      <c r="C8" s="128"/>
      <c r="D8" s="129" t="s">
        <v>77</v>
      </c>
      <c r="E8" s="129"/>
      <c r="F8" s="129"/>
      <c r="G8" s="39" t="s">
        <v>126</v>
      </c>
      <c r="H8" s="130" t="s">
        <v>180</v>
      </c>
    </row>
    <row r="9" spans="1:9" x14ac:dyDescent="0.2">
      <c r="A9" s="27"/>
      <c r="B9" s="24" t="s">
        <v>50</v>
      </c>
      <c r="C9" s="17" t="s">
        <v>51</v>
      </c>
      <c r="D9" s="40" t="s">
        <v>63</v>
      </c>
      <c r="E9" s="40" t="s">
        <v>64</v>
      </c>
      <c r="F9" s="18"/>
      <c r="G9" s="39" t="s">
        <v>49</v>
      </c>
      <c r="H9" s="131"/>
    </row>
    <row r="10" spans="1:9" x14ac:dyDescent="0.2">
      <c r="A10" s="27" t="s">
        <v>32</v>
      </c>
      <c r="B10" s="25">
        <v>38</v>
      </c>
      <c r="C10" s="19">
        <v>95</v>
      </c>
      <c r="D10" s="16">
        <f>MAX(ROUNDUP((B10/$B$5-$F$11*4-$F$28*2)/8, 0),0)</f>
        <v>10</v>
      </c>
      <c r="E10" s="16">
        <f>MAX(ROUNDDOWN((C10/$B$5-$F$11*4-$F$28*2)/8, 0),0)</f>
        <v>23</v>
      </c>
      <c r="F10" s="16">
        <f>ROUNDUP((E10-D10)*($F$63/100)+D10, 0)</f>
        <v>17</v>
      </c>
      <c r="G10" s="20">
        <f t="shared" ref="G10:G16" si="0">IF(F10&lt;0, 0, F10)</f>
        <v>17</v>
      </c>
      <c r="H10" s="16">
        <f>(G10*8 +G11*4+G28*2)*$B$5</f>
        <v>67.661691542288565</v>
      </c>
      <c r="I10" t="str">
        <f>IF(OR(H10&lt;B10, H10&gt;C10), "fail", "")</f>
        <v/>
      </c>
    </row>
    <row r="11" spans="1:9" ht="38.25" x14ac:dyDescent="0.2">
      <c r="A11" s="76" t="s">
        <v>175</v>
      </c>
      <c r="B11" s="25"/>
      <c r="C11" s="19"/>
      <c r="D11" s="16"/>
      <c r="E11" s="16"/>
      <c r="F11" s="16">
        <v>0</v>
      </c>
      <c r="G11" s="20">
        <f t="shared" si="0"/>
        <v>0</v>
      </c>
      <c r="H11" s="16"/>
    </row>
    <row r="12" spans="1:9" x14ac:dyDescent="0.2">
      <c r="A12" s="27" t="s">
        <v>34</v>
      </c>
      <c r="B12" s="25">
        <f>300-H10</f>
        <v>232.33830845771143</v>
      </c>
      <c r="C12" s="19"/>
      <c r="D12" s="16">
        <f>ROUNDUP((B12/$B$5-11)/8, 0) - 3</f>
        <v>54</v>
      </c>
      <c r="E12" s="16">
        <f>IF(D12&gt; 255, 511, 255)</f>
        <v>255</v>
      </c>
      <c r="F12" s="16">
        <f>ROUNDUP((E12-D12)*($F$68/100)+D12, 0)</f>
        <v>59</v>
      </c>
      <c r="G12" s="20">
        <f t="shared" si="0"/>
        <v>59</v>
      </c>
      <c r="H12" s="16">
        <f>((G12+3)*8+11-G28*2)*$B$5</f>
        <v>252.23880597014926</v>
      </c>
      <c r="I12" t="str">
        <f t="shared" ref="I12:I15" si="1">IF(H12&lt;B12, "fail", "")</f>
        <v/>
      </c>
    </row>
    <row r="13" spans="1:9" x14ac:dyDescent="0.2">
      <c r="A13" s="27" t="s">
        <v>35</v>
      </c>
      <c r="B13" s="25">
        <v>60</v>
      </c>
      <c r="C13" s="19">
        <f>C24-$B$7</f>
        <v>90.97014925373135</v>
      </c>
      <c r="D13" s="16">
        <f>ROUNDUP((B13/$B$5+3)/8, 0)</f>
        <v>16</v>
      </c>
      <c r="E13" s="16">
        <f>ROUNDDOWN((C13/$B$5+3)/8, 0)</f>
        <v>23</v>
      </c>
      <c r="F13" s="16">
        <f>ROUNDUP((E13-D13)*($F$66/100)+D13, 0)</f>
        <v>19</v>
      </c>
      <c r="G13" s="20">
        <f t="shared" si="0"/>
        <v>19</v>
      </c>
      <c r="H13" s="16">
        <f>(G13*8-3)*$B$5</f>
        <v>74.129353233830841</v>
      </c>
      <c r="I13" t="str">
        <f t="shared" ref="I13:I14" si="2">IF(OR(H13&lt;B13, H13&gt;C13), "fail", "")</f>
        <v/>
      </c>
    </row>
    <row r="14" spans="1:9" x14ac:dyDescent="0.2">
      <c r="A14" s="27" t="s">
        <v>38</v>
      </c>
      <c r="B14" s="25">
        <f>40+4*B5</f>
        <v>41.990049751243781</v>
      </c>
      <c r="C14" s="19">
        <f>85+6*B5</f>
        <v>87.985074626865668</v>
      </c>
      <c r="D14" s="16">
        <f>MAX(ROUNDUP((B14/$B$5-$F$18*4-$F$29*2)/8, 0),0)</f>
        <v>11</v>
      </c>
      <c r="E14" s="16">
        <f>MAX(ROUNDDOWN((C14/$B$5-$F$18*4-$F$29*2)/8, 0),0)</f>
        <v>22</v>
      </c>
      <c r="F14" s="16">
        <f>ROUNDUP((E14-D14)*($F$64/100)+D14, 0)</f>
        <v>17</v>
      </c>
      <c r="G14" s="20">
        <f t="shared" si="0"/>
        <v>17</v>
      </c>
      <c r="H14" s="16">
        <f>(G14*8+G18*4+G29*2)*$B$5</f>
        <v>67.661691542288565</v>
      </c>
      <c r="I14" t="str">
        <f t="shared" si="2"/>
        <v/>
      </c>
    </row>
    <row r="15" spans="1:9" x14ac:dyDescent="0.2">
      <c r="A15" s="27" t="s">
        <v>39</v>
      </c>
      <c r="B15" s="25">
        <f>145+10*B5-H14</f>
        <v>82.31343283582089</v>
      </c>
      <c r="C15" s="19"/>
      <c r="D15" s="16">
        <f>ROUNDUP((B15/$B$5 - 11)/8, 0) - 3</f>
        <v>17</v>
      </c>
      <c r="E15" s="16">
        <v>255</v>
      </c>
      <c r="F15" s="16">
        <f>ROUNDUP((E15-D15)*($F$67/100)+D15, 0)</f>
        <v>41</v>
      </c>
      <c r="G15" s="20">
        <f t="shared" si="0"/>
        <v>41</v>
      </c>
      <c r="H15" s="16">
        <f>((G15+3)*8+11-2*G29)*$B$5</f>
        <v>180.59701492537314</v>
      </c>
      <c r="I15" t="str">
        <f t="shared" si="1"/>
        <v/>
      </c>
    </row>
    <row r="16" spans="1:9" x14ac:dyDescent="0.2">
      <c r="A16" s="27" t="s">
        <v>40</v>
      </c>
      <c r="B16" s="25">
        <f xml:space="preserve"> 60+4*B5</f>
        <v>61.990049751243781</v>
      </c>
      <c r="C16" s="19">
        <f>C23-$B$7</f>
        <v>90.97014925373135</v>
      </c>
      <c r="D16" s="16">
        <f>ROUNDUP((B16/$B$5+3)/8, 0)</f>
        <v>16</v>
      </c>
      <c r="E16" s="16">
        <f>ROUNDDOWN((C16/$B$5+3)/8, 0)</f>
        <v>23</v>
      </c>
      <c r="F16" s="16">
        <f>ROUNDUP((E16-D16)*($F$66/100)+D16, 0)</f>
        <v>19</v>
      </c>
      <c r="G16" s="20">
        <f t="shared" si="0"/>
        <v>19</v>
      </c>
      <c r="H16" s="16">
        <f>(G16*8-3)*$B$5</f>
        <v>74.129353233830841</v>
      </c>
      <c r="I16" t="str">
        <f>IF(OR(H16&lt;B16, H16&gt;C16), "fail", "")</f>
        <v/>
      </c>
    </row>
    <row r="17" spans="1:9" x14ac:dyDescent="0.2">
      <c r="A17" s="27" t="s">
        <v>164</v>
      </c>
      <c r="B17" s="25">
        <v>50</v>
      </c>
      <c r="C17" s="19"/>
      <c r="D17" s="16"/>
      <c r="E17" s="16"/>
      <c r="F17" s="16">
        <f>MAX(ROUNDUP((B17/B5+4*F18-8)/8, 0), 0)</f>
        <v>12</v>
      </c>
      <c r="G17" s="20">
        <f>IF(F17&lt;0, 0, F17)</f>
        <v>12</v>
      </c>
      <c r="H17" s="16">
        <f>IF(G18=0, (G17+1)*$B$5*8, (G17+0.5)*$B$5*8)</f>
        <v>51.741293532338311</v>
      </c>
      <c r="I17" t="str">
        <f>IF(H17&lt;B17, "fail", "")</f>
        <v/>
      </c>
    </row>
    <row r="18" spans="1:9" ht="38.25" x14ac:dyDescent="0.2">
      <c r="A18" s="76" t="s">
        <v>182</v>
      </c>
      <c r="B18" s="25"/>
      <c r="C18" s="19"/>
      <c r="D18" s="16"/>
      <c r="E18" s="16"/>
      <c r="F18" s="16">
        <v>0</v>
      </c>
      <c r="G18" s="20">
        <f>IF(F18&lt;0, 0, F18)</f>
        <v>0</v>
      </c>
      <c r="H18" s="16"/>
    </row>
    <row r="19" spans="1:9" x14ac:dyDescent="0.2">
      <c r="A19" s="27" t="s">
        <v>42</v>
      </c>
      <c r="B19" s="25">
        <v>100</v>
      </c>
      <c r="C19" s="19"/>
      <c r="D19" s="16">
        <f t="shared" ref="D19" si="3">ROUNDUP(B19/$B$5/8, 0) - 1</f>
        <v>25</v>
      </c>
      <c r="E19" s="16">
        <v>255</v>
      </c>
      <c r="F19" s="16">
        <f>ROUNDUP((E19-D19)*($F$65/100)+D19, 0)</f>
        <v>48</v>
      </c>
      <c r="G19" s="20">
        <f>IF(F19&lt;0, 0, F19)</f>
        <v>48</v>
      </c>
      <c r="H19" s="16">
        <f t="shared" ref="H19" si="4">(G19+1)*$B$5*8</f>
        <v>195.02487562189054</v>
      </c>
      <c r="I19" t="str">
        <f>IF(H19&lt;B19, "fail", "")</f>
        <v/>
      </c>
    </row>
    <row r="20" spans="1:9" x14ac:dyDescent="0.2">
      <c r="A20" s="27" t="s">
        <v>43</v>
      </c>
      <c r="B20" s="25">
        <f>4*B6</f>
        <v>208.33333333333334</v>
      </c>
      <c r="C20" s="19">
        <f>4*B6</f>
        <v>208.33333333333334</v>
      </c>
      <c r="D20" s="16"/>
      <c r="E20" s="16"/>
      <c r="F20" s="16">
        <f>B20</f>
        <v>208.33333333333334</v>
      </c>
      <c r="G20" s="20">
        <v>2</v>
      </c>
      <c r="H20" s="16">
        <f>(G20+2)*10^3/$B$4</f>
        <v>208.33333333333334</v>
      </c>
    </row>
    <row r="21" spans="1:9" x14ac:dyDescent="0.2">
      <c r="A21" s="27" t="s">
        <v>45</v>
      </c>
      <c r="B21" s="25">
        <f>B6</f>
        <v>52.083333333333336</v>
      </c>
      <c r="C21" s="19">
        <f>2*B6</f>
        <v>104.16666666666667</v>
      </c>
      <c r="D21" s="16"/>
      <c r="E21" s="16"/>
      <c r="F21" s="16">
        <f>B21</f>
        <v>52.083333333333336</v>
      </c>
      <c r="G21" s="20">
        <v>0</v>
      </c>
      <c r="H21" s="16">
        <f>(G21+2)*10^3/$B$4</f>
        <v>104.16666666666667</v>
      </c>
    </row>
    <row r="22" spans="1:9" x14ac:dyDescent="0.2">
      <c r="A22" s="27" t="s">
        <v>44</v>
      </c>
      <c r="B22" s="25">
        <f>5*B6</f>
        <v>260.41666666666669</v>
      </c>
      <c r="C22" s="19">
        <f>5*B6</f>
        <v>260.41666666666669</v>
      </c>
      <c r="D22" s="16"/>
      <c r="E22" s="16"/>
      <c r="F22" s="16">
        <f>B22</f>
        <v>260.41666666666669</v>
      </c>
      <c r="G22" s="20">
        <v>4</v>
      </c>
      <c r="H22" s="16">
        <f>(G22+1)*10^3/$B$4</f>
        <v>260.41666666666669</v>
      </c>
    </row>
    <row r="23" spans="1:9" x14ac:dyDescent="0.2">
      <c r="A23" s="27" t="s">
        <v>90</v>
      </c>
      <c r="B23" s="25"/>
      <c r="C23" s="19">
        <f>105+12*$B$5</f>
        <v>110.97014925373135</v>
      </c>
      <c r="D23" s="16"/>
      <c r="E23" s="16"/>
      <c r="F23" s="16"/>
      <c r="G23" s="21"/>
      <c r="H23" s="16">
        <f>H16+$B$7/2</f>
        <v>84.129353233830841</v>
      </c>
    </row>
    <row r="24" spans="1:9" x14ac:dyDescent="0.2">
      <c r="A24" s="27" t="s">
        <v>91</v>
      </c>
      <c r="B24" s="25"/>
      <c r="C24" s="19">
        <f>105+12*$B$5</f>
        <v>110.97014925373135</v>
      </c>
      <c r="D24" s="16"/>
      <c r="E24" s="16"/>
      <c r="F24" s="16"/>
      <c r="G24" s="21"/>
      <c r="H24" s="16">
        <f>H13 + $B$7/2</f>
        <v>84.129353233830841</v>
      </c>
    </row>
    <row r="25" spans="1:9" x14ac:dyDescent="0.2">
      <c r="A25" s="27" t="s">
        <v>47</v>
      </c>
      <c r="B25" s="25">
        <f>60+52*B5</f>
        <v>85.870646766169159</v>
      </c>
      <c r="C25" s="19"/>
      <c r="D25" s="16">
        <f>ROUNDUP((B25-43*B5)/(8*B5), 0)-1</f>
        <v>16</v>
      </c>
      <c r="E25" s="16">
        <v>63</v>
      </c>
      <c r="F25" s="16">
        <f>ROUNDUP((E25-D25)*($F$65/100)+D25, 0)</f>
        <v>21</v>
      </c>
      <c r="G25" s="20">
        <f>IF(F25&lt;0, 0, F25)</f>
        <v>21</v>
      </c>
      <c r="H25" s="16">
        <f>(G25+1)*8*B5+72*B5+H19</f>
        <v>318.40796019900495</v>
      </c>
    </row>
    <row r="26" spans="1:9" x14ac:dyDescent="0.2">
      <c r="A26" s="27" t="s">
        <v>48</v>
      </c>
      <c r="B26" s="25">
        <f>8*B5</f>
        <v>3.9800995024875623</v>
      </c>
      <c r="C26" s="19"/>
      <c r="D26" s="16">
        <f>ROUNDUP((B26+$H$10+$H$12+H27)/(8*$B$5),0)-1</f>
        <v>94</v>
      </c>
      <c r="E26" s="16">
        <v>63</v>
      </c>
      <c r="F26" s="16">
        <f>IF(D26&gt;63, ROUNDUP((E26*2-D26)*($F$65/100)+D26, 0), ROUNDUP((E26-D26)*($F$65/100)+D26, 0))</f>
        <v>98</v>
      </c>
      <c r="G26" s="20">
        <f>IF(F26&lt;0, 0, IF(D26&gt;E26, ROUNDDOWN(F26/2, 0), F26))</f>
        <v>49</v>
      </c>
      <c r="H26" s="16">
        <f>IF(D26&gt;E26,(G26+1)*16*B5-H27-H10-H12,(G26+1)*8*B5-H27-H10-H12)</f>
        <v>26.368159203980099</v>
      </c>
    </row>
    <row r="27" spans="1:9" x14ac:dyDescent="0.2">
      <c r="A27" s="27" t="s">
        <v>176</v>
      </c>
      <c r="B27" s="25">
        <v>50</v>
      </c>
      <c r="C27" s="19"/>
      <c r="D27" s="16"/>
      <c r="E27" s="16"/>
      <c r="F27" s="16">
        <f>MAX(ROUNDUP((B27/$B$5+4*$F$11-8)/8, 0), 0)</f>
        <v>12</v>
      </c>
      <c r="G27" s="20">
        <f>IF(F27&lt;0, 0, F27)</f>
        <v>12</v>
      </c>
      <c r="H27" s="16">
        <f>IF(G11=0, (G27+1)*$B$5*8, (G27+0.5)*$B$5*8)</f>
        <v>51.741293532338311</v>
      </c>
      <c r="I27" t="str">
        <f>IF(H27&lt;B27, "fail", "")</f>
        <v/>
      </c>
    </row>
    <row r="28" spans="1:9" ht="25.5" x14ac:dyDescent="0.2">
      <c r="A28" s="73" t="s">
        <v>177</v>
      </c>
      <c r="B28" s="6"/>
      <c r="C28" s="6"/>
      <c r="D28" s="4"/>
      <c r="E28" s="4"/>
      <c r="F28" s="16">
        <f>IF(B3&gt;100, 0, 3)</f>
        <v>0</v>
      </c>
      <c r="G28" s="20">
        <f t="shared" ref="G28" si="5">IF(F28&lt;0, 0, F28)</f>
        <v>0</v>
      </c>
      <c r="H28" s="16"/>
    </row>
    <row r="29" spans="1:9" ht="25.5" x14ac:dyDescent="0.2">
      <c r="A29" s="73" t="s">
        <v>181</v>
      </c>
      <c r="B29" s="6"/>
      <c r="C29" s="6"/>
      <c r="D29" s="4"/>
      <c r="E29" s="4"/>
      <c r="F29" s="16">
        <f>IF(B3&gt;120, 0, 1)</f>
        <v>0</v>
      </c>
      <c r="G29" s="20">
        <f t="shared" ref="G29" si="6">IF(F29&lt;0, 0, F29)</f>
        <v>0</v>
      </c>
      <c r="H29" s="16"/>
    </row>
    <row r="30" spans="1:9" x14ac:dyDescent="0.2">
      <c r="A30" s="27" t="s">
        <v>127</v>
      </c>
      <c r="B30" s="3"/>
      <c r="C30" s="3"/>
      <c r="D30" s="5"/>
      <c r="H30" s="16">
        <f>SUM(H10:H17) +  H19+SUM(H25:H27)  +B6+8*B5</f>
        <v>1415.7649253731342</v>
      </c>
    </row>
    <row r="31" spans="1:9" x14ac:dyDescent="0.2">
      <c r="A31" s="93"/>
      <c r="B31" s="3"/>
      <c r="C31" s="3"/>
      <c r="D31" s="5"/>
      <c r="H31" s="4"/>
    </row>
    <row r="32" spans="1:9" ht="15.75" x14ac:dyDescent="0.25">
      <c r="A32" s="94" t="s">
        <v>263</v>
      </c>
      <c r="B32" s="132" t="s">
        <v>254</v>
      </c>
      <c r="C32" s="128"/>
      <c r="D32" s="129" t="s">
        <v>77</v>
      </c>
      <c r="E32" s="129"/>
      <c r="F32" s="129"/>
      <c r="G32" s="39" t="s">
        <v>126</v>
      </c>
      <c r="H32" s="133" t="s">
        <v>180</v>
      </c>
    </row>
    <row r="33" spans="1:9" x14ac:dyDescent="0.2">
      <c r="A33" s="27"/>
      <c r="B33" s="24" t="s">
        <v>50</v>
      </c>
      <c r="C33" s="17" t="s">
        <v>51</v>
      </c>
      <c r="D33" s="40" t="s">
        <v>63</v>
      </c>
      <c r="E33" s="40" t="s">
        <v>64</v>
      </c>
      <c r="F33" s="18"/>
      <c r="G33" s="39"/>
      <c r="H33" s="134"/>
    </row>
    <row r="34" spans="1:9" x14ac:dyDescent="0.2">
      <c r="A34" s="27" t="s">
        <v>252</v>
      </c>
      <c r="B34" s="28">
        <f>IF(B3&gt;1500, B5*(2^15), 0)</f>
        <v>16302.487562189055</v>
      </c>
      <c r="C34" s="28">
        <f>IF(B3&gt;1500, 100*1000, 0)</f>
        <v>100000</v>
      </c>
      <c r="D34" s="92">
        <f>IF(B3&gt;1500, ROUNDUP((B34+500)/(8*$B$5),0), 0)</f>
        <v>4222</v>
      </c>
      <c r="E34" s="92">
        <f>IF(B3&gt;1500, ROUNDUP((C34+500)/(8*$B$5),0), 0)</f>
        <v>25251</v>
      </c>
      <c r="F34" s="23">
        <f>ROUNDUP((E34-D34)*($F$69/100)+D34, 0)</f>
        <v>5274</v>
      </c>
      <c r="G34" s="23">
        <f>IF(F34&lt;0, 0, F34)</f>
        <v>5274</v>
      </c>
      <c r="H34" s="16">
        <f>IF(G34&gt;0, G34*8*B5-1000, 0)</f>
        <v>19991.044776119405</v>
      </c>
      <c r="I34" t="str">
        <f>IF(OR(H34&lt;B34, H34&gt;C34), "fail", "")</f>
        <v/>
      </c>
    </row>
    <row r="35" spans="1:9" x14ac:dyDescent="0.2">
      <c r="A35" s="27" t="s">
        <v>253</v>
      </c>
      <c r="B35" s="28">
        <f>IF(B3&gt;1500, B5*(2^12), 0)</f>
        <v>2037.8109452736319</v>
      </c>
      <c r="C35" s="28">
        <f>IF(B3&gt;1500,
         MIN(10,
                   IF(AND('DSI and MDP registers'!C113&lt;5, 'DSI and MDP registers'!C30=1),
                        'DSI and MDP registers'!C113-2*((H14+H15+H16+H17+H19)/1000),
                        'DSI and MDP registers'!C113-2*(H30/1000)
                       )
                   )*1000,
          0)</f>
        <v>4575.8775566611384</v>
      </c>
      <c r="D35" s="92">
        <f>IF(B3&gt;1500,
        ROUNDUP((B35+H14+H15+H17)/(8*$B$5),0),
      0)</f>
        <v>588</v>
      </c>
      <c r="E35" s="92">
        <f>IF(B3&gt;1500,
        ROUNDUP((C35+H14+H15+H17)/(8*$B$5),0),
      0)</f>
        <v>1226</v>
      </c>
      <c r="F35" s="23">
        <f>ROUNDUP((E35-D35)*($F$70/100)+D35, 0)</f>
        <v>620</v>
      </c>
      <c r="G35" s="23">
        <f>IF(F35&lt;0, 0, F35)</f>
        <v>620</v>
      </c>
      <c r="H35" s="16">
        <f>IF(G35&gt;0, G35*8*B5-H15-H14-H17, 0)</f>
        <v>2167.6616915422887</v>
      </c>
      <c r="I35" t="str">
        <f>IF(OR(H35&lt;B35,
             H35&gt;C35,
             IF(AND('DSI and MDP registers'!C113&lt;5, 'DSI and MDP registers'!C30=1),
                 (H35+2*(H14+H15+H16+H17+H19)&gt;'DSI and MDP registers'!C113*1000),
                 (H35+2*H30&gt;'DSI and MDP registers'!C113*1000)
                )
             ),
        "fail",
        ""
      )</f>
        <v/>
      </c>
    </row>
    <row r="36" spans="1:9" x14ac:dyDescent="0.2">
      <c r="A36" s="27"/>
      <c r="B36" s="6"/>
      <c r="C36" s="6"/>
      <c r="D36" s="3"/>
      <c r="E36" s="3"/>
      <c r="F36" s="5"/>
      <c r="G36" s="4"/>
    </row>
    <row r="37" spans="1:9" ht="18" x14ac:dyDescent="0.25">
      <c r="A37" s="64" t="s">
        <v>173</v>
      </c>
    </row>
    <row r="38" spans="1:9" x14ac:dyDescent="0.2">
      <c r="A38" s="27" t="s">
        <v>172</v>
      </c>
      <c r="B38" s="28" t="s">
        <v>128</v>
      </c>
      <c r="C38" s="3"/>
    </row>
    <row r="39" spans="1:9" x14ac:dyDescent="0.2">
      <c r="A39" s="27" t="s">
        <v>151</v>
      </c>
      <c r="B39" s="23" t="str">
        <f>DEC2HEX(G19)</f>
        <v>30</v>
      </c>
      <c r="C39" s="13" t="s">
        <v>162</v>
      </c>
    </row>
    <row r="40" spans="1:9" x14ac:dyDescent="0.2">
      <c r="A40" s="27" t="s">
        <v>152</v>
      </c>
      <c r="B40" s="23" t="str">
        <f>DEC2HEX(G12)</f>
        <v>3B</v>
      </c>
      <c r="C40" s="13" t="s">
        <v>34</v>
      </c>
    </row>
    <row r="41" spans="1:9" x14ac:dyDescent="0.2">
      <c r="A41" s="27" t="s">
        <v>153</v>
      </c>
      <c r="B41" s="23" t="str">
        <f>DEC2HEX(G10)</f>
        <v>11</v>
      </c>
      <c r="C41" s="13" t="s">
        <v>163</v>
      </c>
    </row>
    <row r="42" spans="1:9" x14ac:dyDescent="0.2">
      <c r="A42" s="27" t="s">
        <v>154</v>
      </c>
      <c r="B42" s="23" t="str">
        <f>DEC2HEX(G13)</f>
        <v>13</v>
      </c>
      <c r="C42" s="13" t="s">
        <v>35</v>
      </c>
    </row>
    <row r="43" spans="1:9" x14ac:dyDescent="0.2">
      <c r="A43" s="27" t="s">
        <v>155</v>
      </c>
      <c r="B43" s="23" t="str">
        <f>DEC2HEX(G27)</f>
        <v>C</v>
      </c>
      <c r="C43" s="13" t="s">
        <v>161</v>
      </c>
      <c r="G43" t="s">
        <v>88</v>
      </c>
    </row>
    <row r="44" spans="1:9" x14ac:dyDescent="0.2">
      <c r="A44" s="27" t="s">
        <v>156</v>
      </c>
      <c r="B44" s="23" t="str">
        <f>DEC2HEX(G19)</f>
        <v>30</v>
      </c>
      <c r="C44" s="13" t="s">
        <v>42</v>
      </c>
    </row>
    <row r="45" spans="1:9" x14ac:dyDescent="0.2">
      <c r="A45" s="27" t="s">
        <v>157</v>
      </c>
      <c r="B45" s="23" t="str">
        <f>DEC2HEX(G15)</f>
        <v>29</v>
      </c>
      <c r="C45" s="13" t="s">
        <v>39</v>
      </c>
    </row>
    <row r="46" spans="1:9" x14ac:dyDescent="0.2">
      <c r="A46" s="27" t="s">
        <v>158</v>
      </c>
      <c r="B46" s="23" t="str">
        <f>DEC2HEX(G14)</f>
        <v>11</v>
      </c>
      <c r="C46" s="13" t="s">
        <v>38</v>
      </c>
    </row>
    <row r="47" spans="1:9" x14ac:dyDescent="0.2">
      <c r="A47" s="27" t="s">
        <v>159</v>
      </c>
      <c r="B47" s="23" t="str">
        <f>DEC2HEX(G16)</f>
        <v>13</v>
      </c>
      <c r="C47" s="13" t="s">
        <v>40</v>
      </c>
    </row>
    <row r="48" spans="1:9" x14ac:dyDescent="0.2">
      <c r="A48" s="27" t="s">
        <v>160</v>
      </c>
      <c r="B48" s="23" t="str">
        <f>DEC2HEX(G17)</f>
        <v>C</v>
      </c>
      <c r="C48" s="13" t="s">
        <v>164</v>
      </c>
    </row>
    <row r="49" spans="1:9" x14ac:dyDescent="0.2">
      <c r="A49" s="27" t="s">
        <v>165</v>
      </c>
      <c r="B49" s="23" t="str">
        <f>DEC2HEX(G21*2^4+G20)</f>
        <v>2</v>
      </c>
      <c r="C49" s="13"/>
    </row>
    <row r="50" spans="1:9" x14ac:dyDescent="0.2">
      <c r="A50" s="27" t="s">
        <v>166</v>
      </c>
      <c r="B50" s="23" t="str">
        <f>DEC2HEX(G22)</f>
        <v>4</v>
      </c>
      <c r="C50" s="13"/>
    </row>
    <row r="51" spans="1:9" ht="25.5" x14ac:dyDescent="0.2">
      <c r="A51" s="73" t="s">
        <v>174</v>
      </c>
      <c r="B51" s="23" t="str">
        <f>DEC2HEX(G11)</f>
        <v>0</v>
      </c>
      <c r="C51" s="13" t="s">
        <v>163</v>
      </c>
    </row>
    <row r="52" spans="1:9" ht="25.5" x14ac:dyDescent="0.2">
      <c r="A52" s="77" t="str">
        <f>A28</f>
        <v>DSIPHY_CKLN_CFG0.DSIPHY_HSTX_PREPARE_DLY</v>
      </c>
      <c r="B52" s="23">
        <f>G28</f>
        <v>0</v>
      </c>
      <c r="C52" s="13" t="s">
        <v>163</v>
      </c>
    </row>
    <row r="53" spans="1:9" ht="25.5" x14ac:dyDescent="0.2">
      <c r="A53" s="73" t="s">
        <v>167</v>
      </c>
      <c r="B53" s="23" t="str">
        <f>DEC2HEX(G18)</f>
        <v>0</v>
      </c>
      <c r="C53" s="13" t="s">
        <v>168</v>
      </c>
    </row>
    <row r="54" spans="1:9" ht="25.5" x14ac:dyDescent="0.2">
      <c r="A54" s="77" t="str">
        <f>A29</f>
        <v>DSIPHY_DLN[0123]_CFG0.DSIPHY_HSTX_PREPARE_DLY</v>
      </c>
      <c r="B54" s="23">
        <f>G29</f>
        <v>0</v>
      </c>
      <c r="C54" s="13" t="s">
        <v>184</v>
      </c>
    </row>
    <row r="55" spans="1:9" x14ac:dyDescent="0.2">
      <c r="A55" s="77"/>
      <c r="B55" s="23"/>
      <c r="C55" s="13"/>
    </row>
    <row r="56" spans="1:9" ht="18" x14ac:dyDescent="0.25">
      <c r="A56" s="66" t="s">
        <v>81</v>
      </c>
      <c r="B56" s="23"/>
    </row>
    <row r="57" spans="1:9" x14ac:dyDescent="0.2">
      <c r="A57" s="27" t="s">
        <v>147</v>
      </c>
      <c r="B57" s="23" t="str">
        <f>DEC2HEX(G25*256+G26)</f>
        <v>1531</v>
      </c>
      <c r="C57" s="13"/>
    </row>
    <row r="58" spans="1:9" x14ac:dyDescent="0.2">
      <c r="A58" s="27" t="s">
        <v>148</v>
      </c>
      <c r="B58" s="65">
        <f>IF(E26 &lt; D26, 1, 0)</f>
        <v>1</v>
      </c>
    </row>
    <row r="59" spans="1:9" ht="25.5" x14ac:dyDescent="0.2">
      <c r="A59" s="73" t="s">
        <v>257</v>
      </c>
      <c r="B59" s="23" t="str">
        <f>DEC2HEX(G34*2^16+500/8/B5)</f>
        <v>149A007D</v>
      </c>
    </row>
    <row r="60" spans="1:9" ht="25.5" x14ac:dyDescent="0.2">
      <c r="A60" s="73" t="s">
        <v>258</v>
      </c>
      <c r="B60" s="23">
        <f>IF('DSI and MDP registers'!C29=1,
        IF('DSI and MDP registers'!C113&gt;5,
             DEC2HEX(G35*2^16+1000/8/B5),
             DEC2HEX(G35*2^16)
            ),
         0)</f>
        <v>0</v>
      </c>
    </row>
    <row r="61" spans="1:9" ht="38.25" x14ac:dyDescent="0.2">
      <c r="A61" s="73" t="s">
        <v>259</v>
      </c>
      <c r="B61" s="23">
        <f>IF(AND('DSI and MDP registers'!C29, 'DSI and MDP registers'!C30, 'DSI and MDP registers'!C113&lt;5), 1, 0)</f>
        <v>0</v>
      </c>
    </row>
    <row r="62" spans="1:9" x14ac:dyDescent="0.2">
      <c r="F62" s="3"/>
      <c r="H62" s="3"/>
      <c r="I62" s="3"/>
    </row>
    <row r="63" spans="1:9" x14ac:dyDescent="0.2">
      <c r="E63" s="14" t="s">
        <v>98</v>
      </c>
      <c r="F63">
        <v>50</v>
      </c>
    </row>
    <row r="64" spans="1:9" x14ac:dyDescent="0.2">
      <c r="E64" s="14" t="s">
        <v>99</v>
      </c>
      <c r="F64">
        <v>50</v>
      </c>
    </row>
    <row r="65" spans="5:6" x14ac:dyDescent="0.2">
      <c r="E65" s="14" t="s">
        <v>93</v>
      </c>
      <c r="F65">
        <v>10</v>
      </c>
    </row>
    <row r="66" spans="5:6" x14ac:dyDescent="0.2">
      <c r="E66" s="14" t="s">
        <v>94</v>
      </c>
      <c r="F66">
        <v>30</v>
      </c>
    </row>
    <row r="67" spans="5:6" x14ac:dyDescent="0.2">
      <c r="E67" s="14" t="s">
        <v>183</v>
      </c>
      <c r="F67">
        <v>10</v>
      </c>
    </row>
    <row r="68" spans="5:6" x14ac:dyDescent="0.2">
      <c r="E68" s="14" t="s">
        <v>200</v>
      </c>
      <c r="F68">
        <v>2</v>
      </c>
    </row>
    <row r="69" spans="5:6" x14ac:dyDescent="0.2">
      <c r="E69" s="14" t="s">
        <v>255</v>
      </c>
      <c r="F69">
        <v>5</v>
      </c>
    </row>
    <row r="70" spans="5:6" x14ac:dyDescent="0.2">
      <c r="E70" s="14" t="s">
        <v>256</v>
      </c>
      <c r="F70">
        <v>5</v>
      </c>
    </row>
  </sheetData>
  <mergeCells count="6">
    <mergeCell ref="B32:C32"/>
    <mergeCell ref="D32:F32"/>
    <mergeCell ref="H32:H33"/>
    <mergeCell ref="B8:C8"/>
    <mergeCell ref="D8:F8"/>
    <mergeCell ref="H8:H9"/>
  </mergeCells>
  <phoneticPr fontId="51" type="noConversion"/>
  <pageMargins left="0.25" right="0.25" top="0.75" bottom="0.65" header="0.3" footer="0.3"/>
  <pageSetup scale="77" orientation="portrait" r:id="rId1"/>
  <headerFooter scaleWithDoc="0">
    <oddFooter xml:space="preserve">&amp;L&amp;"Arial"&amp;8 80-NH713-1 YG
&amp;C&amp;"Arial"&amp;8Confidential – Qualcomm Technologies, Inc. and/or its affiliated companies – May Contain Trade Secrets
&amp;"Arial,Bold"&amp;8MAY CONTAIN U.S. AND INTERNATIONAL EXPORT CONTROLLED INFORMATION&amp;R&amp;"Arial"&amp;8 &amp;P
</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pageSetUpPr fitToPage="1"/>
  </sheetPr>
  <dimension ref="A1:I66"/>
  <sheetViews>
    <sheetView workbookViewId="0">
      <selection activeCell="G26" sqref="G26"/>
    </sheetView>
  </sheetViews>
  <sheetFormatPr defaultColWidth="9.140625" defaultRowHeight="12.75" x14ac:dyDescent="0.2"/>
  <cols>
    <col min="1" max="1" width="37.42578125" customWidth="1"/>
    <col min="2" max="2" width="19" customWidth="1"/>
    <col min="3" max="3" width="15.85546875" customWidth="1"/>
    <col min="4" max="4" width="9.5703125" customWidth="1"/>
    <col min="5" max="5" width="10" customWidth="1"/>
    <col min="6" max="6" width="16.28515625" customWidth="1"/>
    <col min="7" max="7" width="24.5703125" customWidth="1"/>
    <col min="8" max="8" width="20.7109375" customWidth="1"/>
    <col min="10" max="10" width="16.28515625" customWidth="1"/>
  </cols>
  <sheetData>
    <row r="1" spans="1:9" ht="18" x14ac:dyDescent="0.25">
      <c r="A1" s="8" t="s">
        <v>80</v>
      </c>
    </row>
    <row r="2" spans="1:9" ht="18" x14ac:dyDescent="0.25">
      <c r="A2" s="12" t="s">
        <v>125</v>
      </c>
      <c r="B2" s="11"/>
      <c r="G2" s="15"/>
    </row>
    <row r="3" spans="1:9" x14ac:dyDescent="0.2">
      <c r="A3" s="22" t="s">
        <v>96</v>
      </c>
      <c r="B3" s="62">
        <f>ROUNDDOWN('DSI and MDP registers'!C105, 0)</f>
        <v>2010</v>
      </c>
      <c r="C3" t="s">
        <v>15</v>
      </c>
    </row>
    <row r="4" spans="1:9" x14ac:dyDescent="0.2">
      <c r="A4" s="22" t="s">
        <v>33</v>
      </c>
      <c r="B4" s="63">
        <f>'DSI and MDP registers'!C21/'DSI and MDP registers'!C22</f>
        <v>19.2</v>
      </c>
      <c r="C4" t="s">
        <v>15</v>
      </c>
    </row>
    <row r="5" spans="1:9" x14ac:dyDescent="0.2">
      <c r="A5" s="22" t="s">
        <v>36</v>
      </c>
      <c r="B5" s="16">
        <f>10^3/B3</f>
        <v>0.49751243781094528</v>
      </c>
      <c r="C5" t="s">
        <v>37</v>
      </c>
    </row>
    <row r="6" spans="1:9" x14ac:dyDescent="0.2">
      <c r="A6" s="22" t="s">
        <v>46</v>
      </c>
      <c r="B6" s="16">
        <f>10^3/B4</f>
        <v>52.083333333333336</v>
      </c>
      <c r="C6" t="s">
        <v>37</v>
      </c>
    </row>
    <row r="7" spans="1:9" x14ac:dyDescent="0.2">
      <c r="A7" s="22" t="s">
        <v>89</v>
      </c>
      <c r="B7" s="23">
        <v>20</v>
      </c>
      <c r="C7" t="s">
        <v>37</v>
      </c>
    </row>
    <row r="8" spans="1:9" x14ac:dyDescent="0.2">
      <c r="A8" s="26"/>
      <c r="B8" s="127" t="s">
        <v>92</v>
      </c>
      <c r="C8" s="128"/>
      <c r="D8" s="129" t="s">
        <v>77</v>
      </c>
      <c r="E8" s="129"/>
      <c r="F8" s="129"/>
      <c r="G8" s="39" t="s">
        <v>126</v>
      </c>
      <c r="H8" s="130" t="s">
        <v>180</v>
      </c>
    </row>
    <row r="9" spans="1:9" x14ac:dyDescent="0.2">
      <c r="A9" s="27"/>
      <c r="B9" s="24" t="s">
        <v>50</v>
      </c>
      <c r="C9" s="17" t="s">
        <v>51</v>
      </c>
      <c r="D9" s="40" t="s">
        <v>63</v>
      </c>
      <c r="E9" s="40" t="s">
        <v>64</v>
      </c>
      <c r="F9" s="18"/>
      <c r="G9" s="39" t="s">
        <v>49</v>
      </c>
      <c r="H9" s="131"/>
    </row>
    <row r="10" spans="1:9" x14ac:dyDescent="0.2">
      <c r="A10" s="27" t="s">
        <v>32</v>
      </c>
      <c r="B10" s="25">
        <v>38</v>
      </c>
      <c r="C10" s="19">
        <v>95</v>
      </c>
      <c r="D10" s="16">
        <f>MAX(ROUNDUP((B10/$B$5-$F$11*4)/8, 0),0)</f>
        <v>10</v>
      </c>
      <c r="E10" s="16">
        <f>MAX(ROUNDDOWN((C10/$B$5-$F$11*4)/8, 0),0)</f>
        <v>23</v>
      </c>
      <c r="F10" s="16">
        <f>ROUNDUP((E10-D10)*($F$56/100)+D10, 0)</f>
        <v>17</v>
      </c>
      <c r="G10" s="20">
        <f t="shared" ref="G10:G16" si="0">IF(F10&lt;0, 0, F10)</f>
        <v>17</v>
      </c>
      <c r="H10" s="16">
        <f>(G10*8 +G11*4)*$B$5</f>
        <v>67.661691542288565</v>
      </c>
      <c r="I10" t="str">
        <f>IF(OR(H10&lt;B10, H10&gt;C10), "fail", "")</f>
        <v/>
      </c>
    </row>
    <row r="11" spans="1:9" ht="25.5" x14ac:dyDescent="0.2">
      <c r="A11" s="76" t="s">
        <v>210</v>
      </c>
      <c r="B11" s="25"/>
      <c r="C11" s="19"/>
      <c r="D11" s="16"/>
      <c r="E11" s="16"/>
      <c r="F11" s="16">
        <v>0</v>
      </c>
      <c r="G11" s="20">
        <f t="shared" si="0"/>
        <v>0</v>
      </c>
      <c r="H11" s="16"/>
    </row>
    <row r="12" spans="1:9" x14ac:dyDescent="0.2">
      <c r="A12" s="27" t="s">
        <v>34</v>
      </c>
      <c r="B12" s="25">
        <f>300-H10</f>
        <v>232.33830845771143</v>
      </c>
      <c r="C12" s="19"/>
      <c r="D12" s="16">
        <f>ROUNDUP((B12/$B$5)/8, 0) - 1</f>
        <v>58</v>
      </c>
      <c r="E12" s="16">
        <f>IF(D12&gt; 255, 511, 255)</f>
        <v>255</v>
      </c>
      <c r="F12" s="16">
        <f>ROUNDUP((E12-D12)*($F$63/100)+D12, 0)</f>
        <v>62</v>
      </c>
      <c r="G12" s="20">
        <f t="shared" si="0"/>
        <v>62</v>
      </c>
      <c r="H12" s="16">
        <f>((G12+1)*8)*$B$5</f>
        <v>250.74626865671641</v>
      </c>
      <c r="I12">
        <f>H10+H12</f>
        <v>318.40796019900495</v>
      </c>
    </row>
    <row r="13" spans="1:9" x14ac:dyDescent="0.2">
      <c r="A13" s="27" t="s">
        <v>35</v>
      </c>
      <c r="B13" s="25">
        <v>60</v>
      </c>
      <c r="C13" s="19">
        <f>C24-$B$7</f>
        <v>90.97014925373135</v>
      </c>
      <c r="D13" s="16">
        <f>ROUNDUP((B13/$B$5)/8, 0)-1</f>
        <v>15</v>
      </c>
      <c r="E13" s="16">
        <f>ROUNDDOWN((C13/$B$5)/8, 0)-1</f>
        <v>21</v>
      </c>
      <c r="F13" s="16">
        <f>ROUNDUP((E13-D13)*($F$59/100)+D13, 0)</f>
        <v>17</v>
      </c>
      <c r="G13" s="20">
        <f t="shared" si="0"/>
        <v>17</v>
      </c>
      <c r="H13" s="16">
        <f>((G13+1)*8)*$B$5</f>
        <v>71.641791044776127</v>
      </c>
      <c r="I13" t="str">
        <f t="shared" ref="I13:I14" si="1">IF(OR(H13&lt;B13, H13&gt;C13), "fail", "")</f>
        <v/>
      </c>
    </row>
    <row r="14" spans="1:9" x14ac:dyDescent="0.2">
      <c r="A14" s="27" t="s">
        <v>38</v>
      </c>
      <c r="B14" s="25">
        <f>40+4*B5</f>
        <v>41.990049751243781</v>
      </c>
      <c r="C14" s="19">
        <f>85+6*B5</f>
        <v>87.985074626865668</v>
      </c>
      <c r="D14" s="16">
        <f>MAX(ROUNDUP((B14/$B$5-$F$18*4)/8, 0),0)</f>
        <v>11</v>
      </c>
      <c r="E14" s="16">
        <f>MAX(ROUNDDOWN((C14/$B$5-$F$18*4)/8, 0),0)</f>
        <v>22</v>
      </c>
      <c r="F14" s="16">
        <f>ROUNDUP((E14-D14)*($F$57/100)+D14, 0)</f>
        <v>17</v>
      </c>
      <c r="G14" s="20">
        <f t="shared" si="0"/>
        <v>17</v>
      </c>
      <c r="H14" s="16">
        <f>(G14*8+G18*4)*$B$5</f>
        <v>67.661691542288565</v>
      </c>
      <c r="I14" t="str">
        <f t="shared" si="1"/>
        <v/>
      </c>
    </row>
    <row r="15" spans="1:9" x14ac:dyDescent="0.2">
      <c r="A15" s="27" t="s">
        <v>39</v>
      </c>
      <c r="B15" s="25">
        <f>145+10*B5-H14</f>
        <v>82.31343283582089</v>
      </c>
      <c r="C15" s="19"/>
      <c r="D15" s="16">
        <f>ROUNDUP((B15/$B$5 )/8, 0) - 1</f>
        <v>20</v>
      </c>
      <c r="E15" s="16">
        <v>255</v>
      </c>
      <c r="F15" s="16">
        <f>ROUNDUP((E15-D15)*($F$60/100)+D15, 0)</f>
        <v>44</v>
      </c>
      <c r="G15" s="20">
        <f t="shared" si="0"/>
        <v>44</v>
      </c>
      <c r="H15" s="16">
        <f>((G15+1)*8)*$B$5</f>
        <v>179.1044776119403</v>
      </c>
      <c r="I15">
        <f>H14+H15</f>
        <v>246.76616915422886</v>
      </c>
    </row>
    <row r="16" spans="1:9" x14ac:dyDescent="0.2">
      <c r="A16" s="27" t="s">
        <v>40</v>
      </c>
      <c r="B16" s="25">
        <f xml:space="preserve"> 60+4*B5</f>
        <v>61.990049751243781</v>
      </c>
      <c r="C16" s="19">
        <f>C23-$B$7</f>
        <v>90.97014925373135</v>
      </c>
      <c r="D16" s="16">
        <f>ROUNDUP((B16/$B$5)/8, 0)-1</f>
        <v>15</v>
      </c>
      <c r="E16" s="16">
        <f>ROUNDDOWN((C16/$B$5)/8, 0)-1</f>
        <v>21</v>
      </c>
      <c r="F16" s="16">
        <f>ROUNDUP((E16-D16)*($F$59/100)+D16, 0)</f>
        <v>17</v>
      </c>
      <c r="G16" s="20">
        <f t="shared" si="0"/>
        <v>17</v>
      </c>
      <c r="H16" s="16">
        <f>((G16+1)*8)*$B$5</f>
        <v>71.641791044776127</v>
      </c>
      <c r="I16" t="str">
        <f>IF(OR(H16&lt;B16, H16&gt;C16), "fail", "")</f>
        <v/>
      </c>
    </row>
    <row r="17" spans="1:9" x14ac:dyDescent="0.2">
      <c r="A17" s="27" t="s">
        <v>164</v>
      </c>
      <c r="B17" s="25">
        <v>50</v>
      </c>
      <c r="C17" s="19"/>
      <c r="D17" s="16">
        <f>MAX(ROUNDUP((B17/B5+4*F18-8)/8, 0), 0)</f>
        <v>12</v>
      </c>
      <c r="E17" s="16">
        <v>255</v>
      </c>
      <c r="F17" s="16">
        <f>ROUNDUP((E17-D17)*($F$66/100)+D17, 0)</f>
        <v>15</v>
      </c>
      <c r="G17" s="20">
        <f>IF(F17&lt;0, 0, F17)</f>
        <v>15</v>
      </c>
      <c r="H17" s="16">
        <f xml:space="preserve"> ((G17+1)*8 - (G18*4))*$B$5</f>
        <v>63.681592039800996</v>
      </c>
      <c r="I17" t="str">
        <f>IF(H17&lt;B17, "fail", "")</f>
        <v/>
      </c>
    </row>
    <row r="18" spans="1:9" ht="25.5" x14ac:dyDescent="0.2">
      <c r="A18" s="76" t="s">
        <v>211</v>
      </c>
      <c r="B18" s="25"/>
      <c r="C18" s="19"/>
      <c r="D18" s="16"/>
      <c r="E18" s="16"/>
      <c r="F18" s="16">
        <f>F11</f>
        <v>0</v>
      </c>
      <c r="G18" s="20">
        <f>IF(F18&lt;0, 0, F18)</f>
        <v>0</v>
      </c>
      <c r="H18" s="16"/>
    </row>
    <row r="19" spans="1:9" x14ac:dyDescent="0.2">
      <c r="A19" s="27" t="s">
        <v>42</v>
      </c>
      <c r="B19" s="25">
        <v>100</v>
      </c>
      <c r="C19" s="19"/>
      <c r="D19" s="16">
        <f t="shared" ref="D19" si="2">ROUNDUP(B19/$B$5/8, 0) - 1</f>
        <v>25</v>
      </c>
      <c r="E19" s="16">
        <v>255</v>
      </c>
      <c r="F19" s="16">
        <f>ROUNDUP((E19-D19)*($F$58/100)+D19, 0)</f>
        <v>48</v>
      </c>
      <c r="G19" s="20">
        <f>IF(F19&lt;0, 0, F19)</f>
        <v>48</v>
      </c>
      <c r="H19" s="16">
        <f t="shared" ref="H19" si="3">(G19+1)*$B$5*8</f>
        <v>195.02487562189054</v>
      </c>
      <c r="I19" t="str">
        <f>IF(H19&lt;B19, "fail", "")</f>
        <v/>
      </c>
    </row>
    <row r="20" spans="1:9" x14ac:dyDescent="0.2">
      <c r="A20" s="27" t="s">
        <v>43</v>
      </c>
      <c r="B20" s="25">
        <f>4*B6</f>
        <v>208.33333333333334</v>
      </c>
      <c r="C20" s="19">
        <f>4*B6</f>
        <v>208.33333333333334</v>
      </c>
      <c r="D20" s="16"/>
      <c r="E20" s="16"/>
      <c r="F20" s="16">
        <f>B20</f>
        <v>208.33333333333334</v>
      </c>
      <c r="G20" s="20">
        <v>2</v>
      </c>
      <c r="H20" s="16">
        <f>(G20+2)*10^3/$B$4</f>
        <v>208.33333333333334</v>
      </c>
    </row>
    <row r="21" spans="1:9" x14ac:dyDescent="0.2">
      <c r="A21" s="27" t="s">
        <v>45</v>
      </c>
      <c r="B21" s="25">
        <f>B6</f>
        <v>52.083333333333336</v>
      </c>
      <c r="C21" s="19">
        <f>2*B6</f>
        <v>104.16666666666667</v>
      </c>
      <c r="D21" s="16"/>
      <c r="E21" s="16"/>
      <c r="F21" s="16">
        <f>B21</f>
        <v>52.083333333333336</v>
      </c>
      <c r="G21" s="20">
        <v>0</v>
      </c>
      <c r="H21" s="16">
        <f>(G21+2)*10^3/$B$4</f>
        <v>104.16666666666667</v>
      </c>
    </row>
    <row r="22" spans="1:9" x14ac:dyDescent="0.2">
      <c r="A22" s="27" t="s">
        <v>44</v>
      </c>
      <c r="B22" s="25">
        <f>5*B6</f>
        <v>260.41666666666669</v>
      </c>
      <c r="C22" s="19">
        <f>5*B6</f>
        <v>260.41666666666669</v>
      </c>
      <c r="D22" s="16"/>
      <c r="E22" s="16"/>
      <c r="F22" s="16">
        <f>B22</f>
        <v>260.41666666666669</v>
      </c>
      <c r="G22" s="20">
        <v>4</v>
      </c>
      <c r="H22" s="16">
        <f>(G22+1)*10^3/$B$4</f>
        <v>260.41666666666669</v>
      </c>
    </row>
    <row r="23" spans="1:9" x14ac:dyDescent="0.2">
      <c r="A23" s="27" t="s">
        <v>90</v>
      </c>
      <c r="B23" s="25"/>
      <c r="C23" s="19">
        <f>105+12*$B$5</f>
        <v>110.97014925373135</v>
      </c>
      <c r="D23" s="16"/>
      <c r="E23" s="16"/>
      <c r="F23" s="16"/>
      <c r="G23" s="21"/>
      <c r="H23" s="16">
        <f>H16+$B$7/2</f>
        <v>81.641791044776127</v>
      </c>
    </row>
    <row r="24" spans="1:9" x14ac:dyDescent="0.2">
      <c r="A24" s="27" t="s">
        <v>91</v>
      </c>
      <c r="B24" s="25"/>
      <c r="C24" s="19">
        <f>105+12*$B$5</f>
        <v>110.97014925373135</v>
      </c>
      <c r="D24" s="16"/>
      <c r="E24" s="16"/>
      <c r="F24" s="16"/>
      <c r="G24" s="21"/>
      <c r="H24" s="16">
        <f>H13 + $B$7/2</f>
        <v>81.641791044776127</v>
      </c>
    </row>
    <row r="25" spans="1:9" x14ac:dyDescent="0.2">
      <c r="A25" s="27" t="s">
        <v>47</v>
      </c>
      <c r="B25" s="25">
        <f>60+52*B5</f>
        <v>85.870646766169159</v>
      </c>
      <c r="C25" s="19"/>
      <c r="D25" s="16">
        <f>ROUNDUP((B25-43*B5)/(8*B5), 0)-1</f>
        <v>16</v>
      </c>
      <c r="E25" s="16">
        <v>63</v>
      </c>
      <c r="F25" s="16">
        <f>ROUNDUP((E25-D25)*($F$62/100)+D25, 0)</f>
        <v>21</v>
      </c>
      <c r="G25" s="20">
        <f>IF(F25&lt;0, 0, F25)</f>
        <v>21</v>
      </c>
      <c r="H25" s="16">
        <f>(G25+1)*8*B5+72*B5+H19</f>
        <v>318.40796019900495</v>
      </c>
    </row>
    <row r="26" spans="1:9" x14ac:dyDescent="0.2">
      <c r="A26" s="27" t="s">
        <v>48</v>
      </c>
      <c r="B26" s="25">
        <f>8*B5</f>
        <v>3.9800995024875623</v>
      </c>
      <c r="C26" s="19"/>
      <c r="D26" s="16">
        <f>ROUNDUP((B26+$H$10+$H$12+H27)/(8*$B$5),0)-1</f>
        <v>96</v>
      </c>
      <c r="E26" s="16">
        <v>63</v>
      </c>
      <c r="F26" s="16">
        <f>IF(D26&gt;63, ROUNDUP((E26*2-D26)*($F$61/100)+D26, 0), ROUNDUP((E26-D26)*($F$61/100)+D26, 0))</f>
        <v>104</v>
      </c>
      <c r="G26" s="20">
        <f>IF(F26&lt;0, 0, IF(D26&gt;E26, ROUNDDOWN(F26/2, 0), F26))</f>
        <v>52</v>
      </c>
      <c r="H26" s="16">
        <f>IF(D26&gt;E26,(G26+1)*16*B5-H27-H10-H12,(G26+1)*8*B5-H27-H10-H12)</f>
        <v>39.800995024875618</v>
      </c>
    </row>
    <row r="27" spans="1:9" x14ac:dyDescent="0.2">
      <c r="A27" s="27" t="s">
        <v>176</v>
      </c>
      <c r="B27" s="25">
        <v>50</v>
      </c>
      <c r="C27" s="19"/>
      <c r="D27" s="16">
        <f>MAX(ROUNDUP((B27/$B$5+4*$F$11-8)/8, 0), 0)</f>
        <v>12</v>
      </c>
      <c r="E27" s="16">
        <v>255</v>
      </c>
      <c r="F27" s="16">
        <f>ROUNDUP((E27-D27)*($F$66/100)+D27, 0)</f>
        <v>15</v>
      </c>
      <c r="G27" s="20">
        <f>IF(F27&lt;0, 0, F27)</f>
        <v>15</v>
      </c>
      <c r="H27" s="16">
        <f>IF(G11=0, (G27+1)*$B$5*8, (G27+0.5)*$B$5*8)</f>
        <v>63.681592039800996</v>
      </c>
      <c r="I27" t="str">
        <f>IF(H27&lt;B27, "fail", "")</f>
        <v/>
      </c>
    </row>
    <row r="28" spans="1:9" x14ac:dyDescent="0.2">
      <c r="A28" s="27" t="s">
        <v>127</v>
      </c>
      <c r="B28" s="3"/>
      <c r="C28" s="3"/>
      <c r="D28" s="5"/>
      <c r="H28" s="16">
        <f>SUM(H10:H17) +  H19+SUM(H25:H27)  +B6+8*B5</f>
        <v>1445.11815920398</v>
      </c>
    </row>
    <row r="29" spans="1:9" x14ac:dyDescent="0.2">
      <c r="A29" s="93"/>
      <c r="B29" s="3"/>
      <c r="C29" s="3"/>
      <c r="D29" s="5"/>
      <c r="H29" s="4"/>
    </row>
    <row r="30" spans="1:9" ht="15.75" x14ac:dyDescent="0.25">
      <c r="A30" s="94" t="s">
        <v>263</v>
      </c>
      <c r="B30" s="132" t="s">
        <v>254</v>
      </c>
      <c r="C30" s="128"/>
      <c r="D30" s="129" t="s">
        <v>77</v>
      </c>
      <c r="E30" s="129"/>
      <c r="F30" s="129"/>
      <c r="G30" s="39" t="s">
        <v>126</v>
      </c>
      <c r="H30" s="133" t="s">
        <v>180</v>
      </c>
    </row>
    <row r="31" spans="1:9" x14ac:dyDescent="0.2">
      <c r="A31" s="27"/>
      <c r="B31" s="24" t="s">
        <v>50</v>
      </c>
      <c r="C31" s="17" t="s">
        <v>51</v>
      </c>
      <c r="D31" s="40" t="s">
        <v>63</v>
      </c>
      <c r="E31" s="40" t="s">
        <v>64</v>
      </c>
      <c r="F31" s="18"/>
      <c r="G31" s="39"/>
      <c r="H31" s="134"/>
    </row>
    <row r="32" spans="1:9" x14ac:dyDescent="0.2">
      <c r="A32" s="27" t="s">
        <v>252</v>
      </c>
      <c r="B32" s="28">
        <f>IF(B3&gt;1500, B5*(2^15), 0)</f>
        <v>16302.487562189055</v>
      </c>
      <c r="C32" s="28">
        <f>IF(B3&gt;1500, 100*1000, 0)</f>
        <v>100000</v>
      </c>
      <c r="D32" s="92">
        <f>IF(B3&gt;1500, ROUNDUP((B32+500)/(8*$B$5),0), 0)</f>
        <v>4222</v>
      </c>
      <c r="E32" s="92">
        <f>IF(B3&gt;1500, ROUNDUP((C32+500)/(8*$B$5),0), 0)</f>
        <v>25251</v>
      </c>
      <c r="F32" s="23">
        <f>ROUNDUP((E32-D32)*($F$64/100)+D32, 0)</f>
        <v>5274</v>
      </c>
      <c r="G32" s="23">
        <f>IF(F32&lt;0, 0, F32)</f>
        <v>5274</v>
      </c>
      <c r="H32" s="16">
        <f>IF(G32&gt;0, G32*8*B5-1000, 0)</f>
        <v>19991.044776119405</v>
      </c>
      <c r="I32" t="str">
        <f>IF(OR(H32&lt;B32, H32&gt;C32), "fail", "")</f>
        <v/>
      </c>
    </row>
    <row r="33" spans="1:9" x14ac:dyDescent="0.2">
      <c r="A33" s="27" t="s">
        <v>253</v>
      </c>
      <c r="B33" s="28">
        <f>IF(B3&gt;1500, B5*(2^12), 0)</f>
        <v>2037.8109452736319</v>
      </c>
      <c r="C33" s="28">
        <f>IF(B3&gt;1500,
         MIN(10,
                   IF(AND('DSI and MDP registers'!C113&lt;5, 'DSI and MDP registers'!C30=1),
                        'DSI and MDP registers'!C113-2*((H14+H15+H16+H17+H19)/1000),
                        'DSI and MDP registers'!C113-2*(H28/1000)
                       )
                   )*1000,
          0)</f>
        <v>4517.1710889994474</v>
      </c>
      <c r="D33" s="92">
        <f>IF(B3&gt;1500,
        ROUNDUP((B33+I15+H17)/(8*$B$5),0),
      0)</f>
        <v>590</v>
      </c>
      <c r="E33" s="92">
        <f>IF(B3&gt;1500,
        ROUNDDOWN((C33+I15+H17)/(8*$B$5),0),
      0)</f>
        <v>1212</v>
      </c>
      <c r="F33" s="23">
        <f>ROUNDUP((E33-D33)*($F$65/100)+D33, 0)</f>
        <v>622</v>
      </c>
      <c r="G33" s="23">
        <f>IF(F33&lt;0, 0, F33)</f>
        <v>622</v>
      </c>
      <c r="H33" s="16">
        <f>IF(G33&gt;0, G33*8*B5-I15-H17, 0)</f>
        <v>2165.1741293532336</v>
      </c>
      <c r="I33" t="str">
        <f>IF(OR(H33&lt;B33,
             H33&gt;C33,
             IF(AND('DSI and MDP registers'!C113&lt;5, 'DSI and MDP registers'!C30=1),
                 (H33+2*(H14+H15+H16+H17+H19)&gt;'DSI and MDP registers'!C113*1000),
                 (H33+2*H28&gt;'DSI and MDP registers'!C113*1000)
                )
             ),
        "fail",
        ""
      )</f>
        <v/>
      </c>
    </row>
    <row r="34" spans="1:9" x14ac:dyDescent="0.2">
      <c r="A34" s="27"/>
      <c r="B34" s="6"/>
      <c r="C34" s="6"/>
    </row>
    <row r="35" spans="1:9" ht="18" x14ac:dyDescent="0.25">
      <c r="A35" s="64" t="s">
        <v>212</v>
      </c>
    </row>
    <row r="36" spans="1:9" x14ac:dyDescent="0.2">
      <c r="A36" s="27" t="s">
        <v>213</v>
      </c>
      <c r="B36" s="28" t="s">
        <v>128</v>
      </c>
      <c r="C36" s="3"/>
    </row>
    <row r="37" spans="1:9" x14ac:dyDescent="0.2">
      <c r="A37" s="27" t="s">
        <v>214</v>
      </c>
      <c r="B37" s="23" t="str">
        <f>DEC2HEX(G11)</f>
        <v>0</v>
      </c>
      <c r="C37" s="13" t="s">
        <v>215</v>
      </c>
    </row>
    <row r="38" spans="1:9" x14ac:dyDescent="0.2">
      <c r="A38" s="27" t="s">
        <v>216</v>
      </c>
      <c r="B38" s="23" t="str">
        <f>DEC2HEX(G12)</f>
        <v>3E</v>
      </c>
      <c r="C38" s="13" t="s">
        <v>34</v>
      </c>
    </row>
    <row r="39" spans="1:9" x14ac:dyDescent="0.2">
      <c r="A39" s="27" t="s">
        <v>217</v>
      </c>
      <c r="B39" s="23" t="str">
        <f>DEC2HEX(G10)</f>
        <v>11</v>
      </c>
      <c r="C39" s="13" t="s">
        <v>32</v>
      </c>
    </row>
    <row r="40" spans="1:9" x14ac:dyDescent="0.2">
      <c r="A40" s="27" t="s">
        <v>218</v>
      </c>
      <c r="B40" s="23" t="str">
        <f>DEC2HEX(G13)</f>
        <v>11</v>
      </c>
      <c r="C40" s="13" t="s">
        <v>35</v>
      </c>
    </row>
    <row r="41" spans="1:9" x14ac:dyDescent="0.2">
      <c r="A41" s="27" t="s">
        <v>219</v>
      </c>
      <c r="B41" s="23" t="str">
        <f>DEC2HEX(G19)</f>
        <v>30</v>
      </c>
      <c r="C41" s="13" t="s">
        <v>42</v>
      </c>
    </row>
    <row r="42" spans="1:9" x14ac:dyDescent="0.2">
      <c r="A42" s="27" t="s">
        <v>220</v>
      </c>
      <c r="B42" s="23" t="str">
        <f>DEC2HEX(G15)</f>
        <v>2C</v>
      </c>
      <c r="C42" s="13" t="s">
        <v>39</v>
      </c>
    </row>
    <row r="43" spans="1:9" x14ac:dyDescent="0.2">
      <c r="A43" s="27" t="s">
        <v>221</v>
      </c>
      <c r="B43" s="23" t="str">
        <f>DEC2HEX(G14)</f>
        <v>11</v>
      </c>
      <c r="C43" s="13" t="s">
        <v>38</v>
      </c>
    </row>
    <row r="44" spans="1:9" x14ac:dyDescent="0.2">
      <c r="A44" s="27" t="s">
        <v>222</v>
      </c>
      <c r="B44" s="23" t="str">
        <f>DEC2HEX(G16)</f>
        <v>11</v>
      </c>
      <c r="C44" s="13" t="s">
        <v>40</v>
      </c>
    </row>
    <row r="45" spans="1:9" x14ac:dyDescent="0.2">
      <c r="A45" s="27" t="s">
        <v>223</v>
      </c>
      <c r="B45" s="23" t="str">
        <f>DEC2HEX(G27)</f>
        <v>F</v>
      </c>
      <c r="C45" s="13" t="s">
        <v>41</v>
      </c>
    </row>
    <row r="46" spans="1:9" x14ac:dyDescent="0.2">
      <c r="A46" s="27" t="s">
        <v>224</v>
      </c>
      <c r="B46" s="23" t="str">
        <f>DEC2HEX(G21*2^4+G20)</f>
        <v>2</v>
      </c>
      <c r="C46" s="13"/>
    </row>
    <row r="47" spans="1:9" x14ac:dyDescent="0.2">
      <c r="A47" s="27" t="s">
        <v>225</v>
      </c>
      <c r="B47" s="23" t="str">
        <f>DEC2HEX(G22)</f>
        <v>4</v>
      </c>
      <c r="C47" s="13"/>
    </row>
    <row r="48" spans="1:9" x14ac:dyDescent="0.2">
      <c r="A48" s="77"/>
      <c r="B48" s="23"/>
      <c r="C48" s="13"/>
    </row>
    <row r="49" spans="1:9" ht="18" x14ac:dyDescent="0.25">
      <c r="A49" s="66" t="s">
        <v>81</v>
      </c>
      <c r="B49" s="23"/>
    </row>
    <row r="50" spans="1:9" x14ac:dyDescent="0.2">
      <c r="A50" s="27" t="s">
        <v>147</v>
      </c>
      <c r="B50" s="23" t="str">
        <f>DEC2HEX(G25*256+G26)</f>
        <v>1534</v>
      </c>
      <c r="C50" s="13"/>
    </row>
    <row r="51" spans="1:9" x14ac:dyDescent="0.2">
      <c r="A51" s="27" t="s">
        <v>148</v>
      </c>
      <c r="B51" s="65">
        <f>IF(E26 &lt; D26, 1, 0)</f>
        <v>1</v>
      </c>
    </row>
    <row r="52" spans="1:9" ht="25.5" x14ac:dyDescent="0.2">
      <c r="A52" s="73" t="s">
        <v>257</v>
      </c>
      <c r="B52" s="23" t="str">
        <f>DEC2HEX(G32*2^16+500/8/B5)</f>
        <v>149A007D</v>
      </c>
    </row>
    <row r="53" spans="1:9" ht="25.5" x14ac:dyDescent="0.2">
      <c r="A53" s="73" t="s">
        <v>258</v>
      </c>
      <c r="B53" s="23">
        <f>IF('DSI and MDP registers'!C29=1,
        IF('DSI and MDP registers'!C113&gt;5,
             DEC2HEX(G33*2^16+1000/8/B5),
             DEC2HEX(G33*2^16)
            ),
         0)</f>
        <v>0</v>
      </c>
    </row>
    <row r="54" spans="1:9" ht="38.25" x14ac:dyDescent="0.2">
      <c r="A54" s="73" t="s">
        <v>259</v>
      </c>
      <c r="B54" s="23">
        <f>IF(AND('DSI and MDP registers'!C29, 'DSI and MDP registers'!C30, 'DSI and MDP registers'!C113&lt;5), 1, 0)</f>
        <v>0</v>
      </c>
    </row>
    <row r="55" spans="1:9" x14ac:dyDescent="0.2">
      <c r="F55" s="3"/>
      <c r="G55" s="3"/>
      <c r="H55" s="3"/>
      <c r="I55" s="3"/>
    </row>
    <row r="56" spans="1:9" x14ac:dyDescent="0.2">
      <c r="E56" s="14" t="s">
        <v>98</v>
      </c>
      <c r="F56">
        <v>50</v>
      </c>
    </row>
    <row r="57" spans="1:9" x14ac:dyDescent="0.2">
      <c r="E57" s="14" t="s">
        <v>99</v>
      </c>
      <c r="F57">
        <v>50</v>
      </c>
    </row>
    <row r="58" spans="1:9" x14ac:dyDescent="0.2">
      <c r="E58" s="14" t="s">
        <v>93</v>
      </c>
      <c r="F58">
        <v>10</v>
      </c>
    </row>
    <row r="59" spans="1:9" x14ac:dyDescent="0.2">
      <c r="E59" s="14" t="s">
        <v>94</v>
      </c>
      <c r="F59">
        <v>30</v>
      </c>
    </row>
    <row r="60" spans="1:9" x14ac:dyDescent="0.2">
      <c r="E60" s="14" t="s">
        <v>183</v>
      </c>
      <c r="F60">
        <v>10</v>
      </c>
    </row>
    <row r="61" spans="1:9" x14ac:dyDescent="0.2">
      <c r="E61" s="14" t="s">
        <v>226</v>
      </c>
      <c r="F61">
        <v>25</v>
      </c>
    </row>
    <row r="62" spans="1:9" x14ac:dyDescent="0.2">
      <c r="E62" s="14" t="s">
        <v>227</v>
      </c>
      <c r="F62">
        <v>10</v>
      </c>
    </row>
    <row r="63" spans="1:9" x14ac:dyDescent="0.2">
      <c r="E63" s="14" t="s">
        <v>200</v>
      </c>
      <c r="F63">
        <v>2</v>
      </c>
    </row>
    <row r="64" spans="1:9" x14ac:dyDescent="0.2">
      <c r="E64" s="14" t="s">
        <v>255</v>
      </c>
      <c r="F64">
        <v>5</v>
      </c>
    </row>
    <row r="65" spans="5:6" x14ac:dyDescent="0.2">
      <c r="E65" s="14" t="s">
        <v>256</v>
      </c>
      <c r="F65">
        <v>5</v>
      </c>
    </row>
    <row r="66" spans="5:6" x14ac:dyDescent="0.2">
      <c r="E66" s="14" t="s">
        <v>620</v>
      </c>
      <c r="F66">
        <f>IF(B3&gt;=500, 1, 0.05)</f>
        <v>1</v>
      </c>
    </row>
  </sheetData>
  <mergeCells count="6">
    <mergeCell ref="B8:C8"/>
    <mergeCell ref="D8:F8"/>
    <mergeCell ref="H8:H9"/>
    <mergeCell ref="B30:C30"/>
    <mergeCell ref="D30:F30"/>
    <mergeCell ref="H30:H31"/>
  </mergeCells>
  <phoneticPr fontId="51" type="noConversion"/>
  <pageMargins left="0.25" right="0.25" top="0.75" bottom="0.65" header="0.3" footer="0.3"/>
  <pageSetup scale="77" orientation="portrait" r:id="rId1"/>
  <headerFooter scaleWithDoc="0">
    <oddFooter xml:space="preserve">&amp;L&amp;"Arial"&amp;8 80-NH713-1 YG
&amp;C&amp;"Arial"&amp;8Confidential – Qualcomm Technologies, Inc. and/or its affiliated companies – May Contain Trade Secrets
&amp;"Arial,Bold"&amp;8MAY CONTAIN U.S. AND INTERNATIONAL EXPORT CONTROLLED INFORMATION&amp;R&amp;"Arial"&amp;8 &amp;P
</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F5FAC7-F6C3-4700-9E9F-155941DD3CB7}">
  <sheetPr codeName="Sheet16">
    <pageSetUpPr fitToPage="1"/>
  </sheetPr>
  <dimension ref="A1:I43"/>
  <sheetViews>
    <sheetView workbookViewId="0"/>
  </sheetViews>
  <sheetFormatPr defaultRowHeight="12.75" x14ac:dyDescent="0.2"/>
  <cols>
    <col min="1" max="1" width="35.7109375" customWidth="1"/>
    <col min="2" max="2" width="42.7109375" customWidth="1"/>
    <col min="6" max="6" width="15.7109375" customWidth="1"/>
    <col min="7" max="7" width="20.140625" customWidth="1"/>
    <col min="8" max="8" width="18.7109375" customWidth="1"/>
  </cols>
  <sheetData>
    <row r="1" spans="1:9" ht="18" x14ac:dyDescent="0.25">
      <c r="A1" s="8" t="s">
        <v>80</v>
      </c>
    </row>
    <row r="2" spans="1:9" ht="18" x14ac:dyDescent="0.25">
      <c r="A2" s="12" t="s">
        <v>125</v>
      </c>
      <c r="B2" s="11"/>
      <c r="G2" s="15"/>
    </row>
    <row r="3" spans="1:9" x14ac:dyDescent="0.2">
      <c r="A3" s="22" t="s">
        <v>96</v>
      </c>
      <c r="B3" s="62">
        <f>ROUNDDOWN('DSI and MDP registers'!C105, 0)</f>
        <v>2010</v>
      </c>
      <c r="C3" t="s">
        <v>15</v>
      </c>
    </row>
    <row r="4" spans="1:9" x14ac:dyDescent="0.2">
      <c r="A4" s="22" t="s">
        <v>33</v>
      </c>
      <c r="B4" s="63">
        <f>'DSI and MDP registers'!C21/'DSI and MDP registers'!C22</f>
        <v>19.2</v>
      </c>
      <c r="C4" t="s">
        <v>15</v>
      </c>
    </row>
    <row r="5" spans="1:9" x14ac:dyDescent="0.2">
      <c r="A5" s="22" t="s">
        <v>36</v>
      </c>
      <c r="B5" s="16">
        <f>10^3/B3</f>
        <v>0.49751243781094528</v>
      </c>
      <c r="C5" t="s">
        <v>37</v>
      </c>
    </row>
    <row r="6" spans="1:9" x14ac:dyDescent="0.2">
      <c r="A6" s="22" t="s">
        <v>46</v>
      </c>
      <c r="B6" s="16">
        <f>10^3/B4</f>
        <v>52.083333333333336</v>
      </c>
      <c r="C6" t="s">
        <v>37</v>
      </c>
    </row>
    <row r="7" spans="1:9" x14ac:dyDescent="0.2">
      <c r="A7" s="22" t="s">
        <v>89</v>
      </c>
      <c r="B7" s="23">
        <v>20</v>
      </c>
      <c r="C7" t="s">
        <v>37</v>
      </c>
    </row>
    <row r="8" spans="1:9" x14ac:dyDescent="0.2">
      <c r="A8" s="26"/>
      <c r="B8" s="127" t="s">
        <v>621</v>
      </c>
      <c r="C8" s="128"/>
      <c r="D8" s="129" t="s">
        <v>77</v>
      </c>
      <c r="E8" s="129"/>
      <c r="F8" s="129"/>
      <c r="G8" s="39" t="s">
        <v>126</v>
      </c>
      <c r="H8" s="130" t="s">
        <v>180</v>
      </c>
    </row>
    <row r="9" spans="1:9" x14ac:dyDescent="0.2">
      <c r="A9" s="27"/>
      <c r="B9" s="24" t="s">
        <v>50</v>
      </c>
      <c r="C9" s="17" t="s">
        <v>51</v>
      </c>
      <c r="D9" s="40" t="s">
        <v>63</v>
      </c>
      <c r="E9" s="40" t="s">
        <v>64</v>
      </c>
      <c r="F9" s="18"/>
      <c r="G9" s="39" t="s">
        <v>49</v>
      </c>
      <c r="H9" s="131"/>
    </row>
    <row r="10" spans="1:9" x14ac:dyDescent="0.2">
      <c r="A10" s="27" t="s">
        <v>594</v>
      </c>
      <c r="B10" s="25">
        <v>38</v>
      </c>
      <c r="C10" s="19">
        <v>95</v>
      </c>
      <c r="D10" s="16">
        <f>MAX(ROUNDUP((B10/$B$5-$F$11*3)/7, 0),0)</f>
        <v>11</v>
      </c>
      <c r="E10" s="16">
        <f>MAX(ROUNDDOWN((C10/$B$5-$F$11*3)/7, 0),0)</f>
        <v>27</v>
      </c>
      <c r="F10" s="16">
        <f>ROUNDUP((E10-D10)*($F$39/100)+D10, 0)</f>
        <v>19</v>
      </c>
      <c r="G10" s="20">
        <f t="shared" ref="G10:G13" si="0">IF(F10&lt;0, 0, F10)</f>
        <v>19</v>
      </c>
      <c r="H10" s="16">
        <f>(G10*7+G11*3)*$B$5</f>
        <v>66.169154228855717</v>
      </c>
      <c r="I10" t="str">
        <f>IF(OR(H10&lt;B10, H10&gt;C10), "fail", "")</f>
        <v/>
      </c>
    </row>
    <row r="11" spans="1:9" ht="25.5" x14ac:dyDescent="0.2">
      <c r="A11" s="76" t="s">
        <v>595</v>
      </c>
      <c r="B11" s="25"/>
      <c r="C11" s="19"/>
      <c r="D11" s="16"/>
      <c r="E11" s="16"/>
      <c r="F11" s="16">
        <f>IF(AND(B3 &lt; 80), 1, 0)</f>
        <v>0</v>
      </c>
      <c r="G11" s="20">
        <f t="shared" si="0"/>
        <v>0</v>
      </c>
      <c r="H11" s="16"/>
    </row>
    <row r="12" spans="1:9" x14ac:dyDescent="0.2">
      <c r="A12" s="27" t="s">
        <v>596</v>
      </c>
      <c r="B12" s="25">
        <f>MIN(300-B10-B5*7, C12)</f>
        <v>222.88557213930349</v>
      </c>
      <c r="C12" s="19">
        <f>448*B5</f>
        <v>222.88557213930349</v>
      </c>
      <c r="D12" s="16">
        <f>ROUNDUP((B12/$B$5)/7, 0) - 1</f>
        <v>63</v>
      </c>
      <c r="E12" s="16">
        <f>ROUNDDOWN((C12/$B$5)/7, 0) - 1</f>
        <v>63</v>
      </c>
      <c r="F12" s="16">
        <f>ROUNDUP((E12-D12)*($F$40/100)+D12, 0)</f>
        <v>63</v>
      </c>
      <c r="G12" s="20">
        <f t="shared" si="0"/>
        <v>63</v>
      </c>
      <c r="H12" s="16">
        <f>((G12+1)*7)*$B$5</f>
        <v>222.88557213930349</v>
      </c>
      <c r="I12" t="str">
        <f t="shared" ref="I12:I13" si="1">IF(OR(H12&lt;B12, H12&gt;C12), "fail", "")</f>
        <v/>
      </c>
    </row>
    <row r="13" spans="1:9" x14ac:dyDescent="0.2">
      <c r="A13" s="27" t="s">
        <v>597</v>
      </c>
      <c r="B13" s="25">
        <f>7*B5</f>
        <v>3.4825870646766171</v>
      </c>
      <c r="C13" s="19">
        <f>224*B5</f>
        <v>111.44278606965175</v>
      </c>
      <c r="D13" s="16">
        <f>ROUNDUP((B13/$B$5)/7, 0)-1</f>
        <v>0</v>
      </c>
      <c r="E13" s="16">
        <f>ROUNDDOWN((C13/$B$5)/7, 0)-1</f>
        <v>31</v>
      </c>
      <c r="F13" s="16">
        <f>ROUNDUP((E13-D13)*($F$41/100)+D13, 0)</f>
        <v>25</v>
      </c>
      <c r="G13" s="20">
        <f t="shared" si="0"/>
        <v>25</v>
      </c>
      <c r="H13" s="16">
        <f>((G13+1)*7)*$B$5</f>
        <v>90.547263681592042</v>
      </c>
      <c r="I13" t="str">
        <f t="shared" si="1"/>
        <v/>
      </c>
    </row>
    <row r="14" spans="1:9" x14ac:dyDescent="0.2">
      <c r="A14" s="27" t="s">
        <v>164</v>
      </c>
      <c r="B14" s="25">
        <v>50</v>
      </c>
      <c r="C14" s="19"/>
      <c r="D14" s="16">
        <f>MAX(ROUNDUP((B14/B5+4*F11-7)/7, 0), 0)</f>
        <v>14</v>
      </c>
      <c r="E14" s="16">
        <v>255</v>
      </c>
      <c r="F14" s="16">
        <f>ROUNDUP((E14-D14)*($F$43/100)+D14, 0)</f>
        <v>17</v>
      </c>
      <c r="G14" s="20">
        <f>IF(F14&lt;0, 0, F14)</f>
        <v>17</v>
      </c>
      <c r="H14" s="16">
        <f xml:space="preserve"> ((G14+1)*7 - (G11*4))*$B$5</f>
        <v>62.686567164179102</v>
      </c>
      <c r="I14" t="str">
        <f>IF(H14&lt;B14, "fail", "")</f>
        <v/>
      </c>
    </row>
    <row r="15" spans="1:9" x14ac:dyDescent="0.2">
      <c r="A15" s="27" t="s">
        <v>42</v>
      </c>
      <c r="B15" s="25">
        <v>100</v>
      </c>
      <c r="C15" s="19"/>
      <c r="D15" s="16">
        <f>ROUNDUP(B15/$B$5/7, 0) - 1</f>
        <v>28</v>
      </c>
      <c r="E15" s="16">
        <v>255</v>
      </c>
      <c r="F15" s="16">
        <f>ROUNDUP((E15-D15)*($F$42/100)+D15, 0)</f>
        <v>51</v>
      </c>
      <c r="G15" s="20">
        <f>IF(F15&lt;0, 0, F15)</f>
        <v>51</v>
      </c>
      <c r="H15" s="16">
        <f>(G15+1)*$B$5*7</f>
        <v>181.09452736318408</v>
      </c>
      <c r="I15" t="str">
        <f>IF(H15&lt;B15, "fail", "")</f>
        <v/>
      </c>
    </row>
    <row r="16" spans="1:9" x14ac:dyDescent="0.2">
      <c r="A16" s="27" t="s">
        <v>43</v>
      </c>
      <c r="B16" s="25">
        <f>4*B6</f>
        <v>208.33333333333334</v>
      </c>
      <c r="C16" s="19">
        <f>4*B6</f>
        <v>208.33333333333334</v>
      </c>
      <c r="D16" s="16"/>
      <c r="E16" s="16"/>
      <c r="F16" s="16">
        <f>B16</f>
        <v>208.33333333333334</v>
      </c>
      <c r="G16" s="20">
        <v>2</v>
      </c>
      <c r="H16" s="16">
        <f>(G16+1)*10^3/$B$4</f>
        <v>156.25</v>
      </c>
    </row>
    <row r="17" spans="1:8" x14ac:dyDescent="0.2">
      <c r="A17" s="27" t="s">
        <v>45</v>
      </c>
      <c r="B17" s="25">
        <f>B6</f>
        <v>52.083333333333336</v>
      </c>
      <c r="C17" s="19">
        <f>2*B6</f>
        <v>104.16666666666667</v>
      </c>
      <c r="D17" s="16"/>
      <c r="E17" s="16"/>
      <c r="F17" s="16">
        <f>B17</f>
        <v>52.083333333333336</v>
      </c>
      <c r="G17" s="20">
        <v>0</v>
      </c>
      <c r="H17" s="16">
        <f>(G17+2)*10^3/$B$4</f>
        <v>104.16666666666667</v>
      </c>
    </row>
    <row r="18" spans="1:8" x14ac:dyDescent="0.2">
      <c r="A18" s="27" t="s">
        <v>44</v>
      </c>
      <c r="B18" s="25">
        <f>5*B6</f>
        <v>260.41666666666669</v>
      </c>
      <c r="C18" s="19">
        <f>5*B6</f>
        <v>260.41666666666669</v>
      </c>
      <c r="D18" s="16"/>
      <c r="E18" s="16"/>
      <c r="F18" s="16">
        <f>B18</f>
        <v>260.41666666666669</v>
      </c>
      <c r="G18" s="20">
        <v>4</v>
      </c>
      <c r="H18" s="16">
        <f>(G18+1)*10^3/$B$4</f>
        <v>260.41666666666669</v>
      </c>
    </row>
    <row r="19" spans="1:8" x14ac:dyDescent="0.2">
      <c r="A19" s="27" t="s">
        <v>127</v>
      </c>
      <c r="B19" s="3"/>
      <c r="C19" s="3"/>
      <c r="D19" s="5"/>
      <c r="H19" s="16">
        <f>SUM(H10:H14)+7*B5</f>
        <v>445.77114427860698</v>
      </c>
    </row>
    <row r="21" spans="1:8" ht="18" x14ac:dyDescent="0.25">
      <c r="A21" s="64" t="s">
        <v>212</v>
      </c>
    </row>
    <row r="22" spans="1:8" x14ac:dyDescent="0.2">
      <c r="A22" s="27" t="s">
        <v>603</v>
      </c>
      <c r="B22" s="28" t="s">
        <v>128</v>
      </c>
      <c r="C22" s="3"/>
    </row>
    <row r="23" spans="1:8" x14ac:dyDescent="0.2">
      <c r="A23" s="27" t="s">
        <v>214</v>
      </c>
      <c r="B23" s="23" t="str">
        <f>DEC2HEX(G11)</f>
        <v>0</v>
      </c>
      <c r="C23" s="13" t="s">
        <v>215</v>
      </c>
    </row>
    <row r="24" spans="1:8" x14ac:dyDescent="0.2">
      <c r="A24" s="27" t="s">
        <v>219</v>
      </c>
      <c r="B24" s="23" t="str">
        <f>DEC2HEX(G15)</f>
        <v>33</v>
      </c>
      <c r="C24" s="13" t="s">
        <v>598</v>
      </c>
    </row>
    <row r="25" spans="1:8" x14ac:dyDescent="0.2">
      <c r="A25" s="27" t="s">
        <v>220</v>
      </c>
      <c r="B25" s="23" t="str">
        <f>DEC2HEX(G12)</f>
        <v>3F</v>
      </c>
      <c r="C25" s="13" t="s">
        <v>596</v>
      </c>
    </row>
    <row r="26" spans="1:8" x14ac:dyDescent="0.2">
      <c r="A26" s="27" t="s">
        <v>221</v>
      </c>
      <c r="B26" s="23" t="str">
        <f>DEC2HEX(G10)</f>
        <v>13</v>
      </c>
      <c r="C26" s="13" t="s">
        <v>594</v>
      </c>
    </row>
    <row r="27" spans="1:8" x14ac:dyDescent="0.2">
      <c r="A27" s="27" t="s">
        <v>222</v>
      </c>
      <c r="B27" s="23" t="str">
        <f>DEC2HEX(G13)</f>
        <v>19</v>
      </c>
      <c r="C27" s="13" t="s">
        <v>597</v>
      </c>
    </row>
    <row r="28" spans="1:8" x14ac:dyDescent="0.2">
      <c r="A28" s="27" t="s">
        <v>223</v>
      </c>
      <c r="B28" s="23" t="str">
        <f>DEC2HEX(G14)</f>
        <v>11</v>
      </c>
      <c r="C28" s="13" t="s">
        <v>41</v>
      </c>
    </row>
    <row r="29" spans="1:8" x14ac:dyDescent="0.2">
      <c r="A29" s="27" t="s">
        <v>224</v>
      </c>
      <c r="B29" s="23" t="str">
        <f>DEC2HEX(G17*2^4+G16)</f>
        <v>2</v>
      </c>
      <c r="C29" s="13"/>
    </row>
    <row r="30" spans="1:8" x14ac:dyDescent="0.2">
      <c r="A30" s="27" t="s">
        <v>225</v>
      </c>
      <c r="B30" s="23" t="str">
        <f>DEC2HEX(G18)</f>
        <v>4</v>
      </c>
      <c r="C30" s="13"/>
    </row>
    <row r="31" spans="1:8" x14ac:dyDescent="0.2">
      <c r="A31" s="77"/>
      <c r="B31" s="23"/>
      <c r="C31" s="13"/>
    </row>
    <row r="32" spans="1:8" ht="18" x14ac:dyDescent="0.25">
      <c r="A32" s="66" t="s">
        <v>81</v>
      </c>
      <c r="B32" s="23"/>
    </row>
    <row r="33" spans="1:9" x14ac:dyDescent="0.2">
      <c r="A33" s="27" t="s">
        <v>147</v>
      </c>
      <c r="B33" s="65">
        <v>0</v>
      </c>
      <c r="C33" s="13"/>
    </row>
    <row r="34" spans="1:9" x14ac:dyDescent="0.2">
      <c r="A34" s="27" t="s">
        <v>148</v>
      </c>
      <c r="B34" s="65">
        <v>0</v>
      </c>
    </row>
    <row r="38" spans="1:9" x14ac:dyDescent="0.2">
      <c r="F38" s="3"/>
      <c r="H38" s="3"/>
      <c r="I38" s="3"/>
    </row>
    <row r="39" spans="1:9" x14ac:dyDescent="0.2">
      <c r="E39" s="14" t="s">
        <v>599</v>
      </c>
      <c r="F39">
        <v>50</v>
      </c>
    </row>
    <row r="40" spans="1:9" x14ac:dyDescent="0.2">
      <c r="E40" s="14" t="s">
        <v>600</v>
      </c>
      <c r="F40">
        <v>20</v>
      </c>
    </row>
    <row r="41" spans="1:9" x14ac:dyDescent="0.2">
      <c r="E41" s="14" t="s">
        <v>601</v>
      </c>
      <c r="F41">
        <v>80</v>
      </c>
    </row>
    <row r="42" spans="1:9" x14ac:dyDescent="0.2">
      <c r="E42" s="14" t="s">
        <v>602</v>
      </c>
      <c r="F42">
        <v>10</v>
      </c>
    </row>
    <row r="43" spans="1:9" x14ac:dyDescent="0.2">
      <c r="E43" s="14" t="s">
        <v>604</v>
      </c>
      <c r="F43">
        <f>IF(B3&gt;=500, 1, 0.05)</f>
        <v>1</v>
      </c>
    </row>
  </sheetData>
  <mergeCells count="3">
    <mergeCell ref="B8:C8"/>
    <mergeCell ref="D8:F8"/>
    <mergeCell ref="H8:H9"/>
  </mergeCells>
  <phoneticPr fontId="51" type="noConversion"/>
  <pageMargins left="0.25" right="0.25" top="0.75" bottom="0.65" header="0.3" footer="0.3"/>
  <pageSetup scale="77" orientation="portrait" r:id="rId1"/>
  <headerFooter scaleWithDoc="0">
    <oddFooter xml:space="preserve">&amp;L&amp;"Arial"&amp;8 80-NH713-1 YG
&amp;C&amp;"Arial"&amp;8Confidential – Qualcomm Technologies, Inc. and/or its affiliated companies – May Contain Trade Secrets
&amp;"Arial,Bold"&amp;8MAY CONTAIN U.S. AND INTERNATIONAL EXPORT CONTROLLED INFORMATION&amp;R&amp;"Arial"&amp;8 &amp;P
</oddFoot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I70"/>
  <sheetViews>
    <sheetView workbookViewId="0"/>
  </sheetViews>
  <sheetFormatPr defaultRowHeight="12.75" x14ac:dyDescent="0.2"/>
  <cols>
    <col min="1" max="1" width="41.7109375" customWidth="1"/>
    <col min="2" max="2" width="20.28515625" customWidth="1"/>
    <col min="3" max="3" width="18.140625" customWidth="1"/>
    <col min="4" max="4" width="14.5703125" customWidth="1"/>
    <col min="5" max="5" width="14.28515625" customWidth="1"/>
    <col min="6" max="6" width="18.140625" customWidth="1"/>
    <col min="7" max="7" width="26.85546875" customWidth="1"/>
    <col min="8" max="8" width="19.140625" customWidth="1"/>
    <col min="9" max="9" width="19.85546875" customWidth="1"/>
  </cols>
  <sheetData>
    <row r="1" spans="1:9" ht="18" x14ac:dyDescent="0.25">
      <c r="A1" s="8" t="s">
        <v>80</v>
      </c>
    </row>
    <row r="2" spans="1:9" ht="18" x14ac:dyDescent="0.25">
      <c r="A2" s="12" t="s">
        <v>125</v>
      </c>
      <c r="B2" s="11"/>
      <c r="G2" s="15"/>
    </row>
    <row r="3" spans="1:9" x14ac:dyDescent="0.2">
      <c r="A3" s="22" t="s">
        <v>96</v>
      </c>
      <c r="B3" s="62">
        <f>ROUNDDOWN('DSI and MDP registers'!C105, 0)</f>
        <v>2010</v>
      </c>
      <c r="C3" t="s">
        <v>15</v>
      </c>
    </row>
    <row r="4" spans="1:9" x14ac:dyDescent="0.2">
      <c r="A4" s="22" t="s">
        <v>33</v>
      </c>
      <c r="B4" s="63">
        <f>'DSI and MDP registers'!C21/'DSI and MDP registers'!C22</f>
        <v>19.2</v>
      </c>
      <c r="C4" t="s">
        <v>15</v>
      </c>
    </row>
    <row r="5" spans="1:9" x14ac:dyDescent="0.2">
      <c r="A5" s="22" t="s">
        <v>36</v>
      </c>
      <c r="B5" s="16">
        <f>10^3/B3</f>
        <v>0.49751243781094528</v>
      </c>
      <c r="C5" t="s">
        <v>37</v>
      </c>
    </row>
    <row r="6" spans="1:9" x14ac:dyDescent="0.2">
      <c r="A6" s="22" t="s">
        <v>46</v>
      </c>
      <c r="B6" s="16">
        <f>10^3/B4</f>
        <v>52.083333333333336</v>
      </c>
      <c r="C6" t="s">
        <v>37</v>
      </c>
    </row>
    <row r="7" spans="1:9" x14ac:dyDescent="0.2">
      <c r="A7" s="22" t="s">
        <v>89</v>
      </c>
      <c r="B7" s="23">
        <v>20</v>
      </c>
      <c r="C7" t="s">
        <v>37</v>
      </c>
    </row>
    <row r="8" spans="1:9" x14ac:dyDescent="0.2">
      <c r="A8" s="26"/>
      <c r="B8" s="127" t="s">
        <v>92</v>
      </c>
      <c r="C8" s="128"/>
      <c r="D8" s="129" t="s">
        <v>77</v>
      </c>
      <c r="E8" s="129"/>
      <c r="F8" s="129"/>
      <c r="G8" s="39" t="s">
        <v>126</v>
      </c>
      <c r="H8" s="130" t="s">
        <v>180</v>
      </c>
    </row>
    <row r="9" spans="1:9" x14ac:dyDescent="0.2">
      <c r="A9" s="27"/>
      <c r="B9" s="24" t="s">
        <v>50</v>
      </c>
      <c r="C9" s="17" t="s">
        <v>51</v>
      </c>
      <c r="D9" s="40" t="s">
        <v>63</v>
      </c>
      <c r="E9" s="40" t="s">
        <v>64</v>
      </c>
      <c r="F9" s="18"/>
      <c r="G9" s="39" t="s">
        <v>49</v>
      </c>
      <c r="H9" s="131"/>
    </row>
    <row r="10" spans="1:9" x14ac:dyDescent="0.2">
      <c r="A10" s="27" t="s">
        <v>32</v>
      </c>
      <c r="B10" s="25">
        <v>38</v>
      </c>
      <c r="C10" s="19">
        <v>95</v>
      </c>
      <c r="D10" s="16">
        <f>MAX(ROUNDUP((B10/$B$5-$F$11*4)/8, 0),0)</f>
        <v>10</v>
      </c>
      <c r="E10" s="16">
        <f>MAX(ROUNDDOWN((C10/$B$5-$F$11*4)/8, 0),0)</f>
        <v>23</v>
      </c>
      <c r="F10" s="16">
        <f>ROUNDUP((E10-D10)*($F$60/100)+D10, 0)</f>
        <v>17</v>
      </c>
      <c r="G10" s="20">
        <f t="shared" ref="G10:G16" si="0">IF(F10&lt;0, 0, F10)</f>
        <v>17</v>
      </c>
      <c r="H10" s="16">
        <f>(G10*8 +G11*4)*$B$5</f>
        <v>67.661691542288565</v>
      </c>
      <c r="I10" t="str">
        <f>IF(OR(H10&lt;B10, H10&gt;C10), "fail", "")</f>
        <v/>
      </c>
    </row>
    <row r="11" spans="1:9" ht="18.399999999999999" customHeight="1" x14ac:dyDescent="0.2">
      <c r="A11" s="76" t="s">
        <v>210</v>
      </c>
      <c r="B11" s="25"/>
      <c r="C11" s="19"/>
      <c r="D11" s="16"/>
      <c r="E11" s="16"/>
      <c r="F11" s="16">
        <f>IF(B3&lt;90, 1, 0)</f>
        <v>0</v>
      </c>
      <c r="G11" s="20">
        <f t="shared" si="0"/>
        <v>0</v>
      </c>
      <c r="H11" s="16"/>
    </row>
    <row r="12" spans="1:9" x14ac:dyDescent="0.2">
      <c r="A12" s="27" t="s">
        <v>34</v>
      </c>
      <c r="B12" s="25">
        <f>300-H10</f>
        <v>232.33830845771143</v>
      </c>
      <c r="C12" s="19"/>
      <c r="D12" s="16">
        <f>ROUNDUP((B12/$B$5)/8, 0) - 1</f>
        <v>58</v>
      </c>
      <c r="E12" s="16">
        <f>IF(D12&gt; 255, 511, 255)</f>
        <v>255</v>
      </c>
      <c r="F12" s="16">
        <f>ROUNDUP((E12-D12)*($F$67/100)+D12, 0)</f>
        <v>62</v>
      </c>
      <c r="G12" s="20">
        <f t="shared" si="0"/>
        <v>62</v>
      </c>
      <c r="H12" s="16">
        <f>((G12+1)*8)*$B$5</f>
        <v>250.74626865671641</v>
      </c>
      <c r="I12">
        <f>H10+H12</f>
        <v>318.40796019900495</v>
      </c>
    </row>
    <row r="13" spans="1:9" x14ac:dyDescent="0.2">
      <c r="A13" s="27" t="s">
        <v>35</v>
      </c>
      <c r="B13" s="25">
        <v>60</v>
      </c>
      <c r="C13" s="19">
        <f>C24-$B$7</f>
        <v>90.97014925373135</v>
      </c>
      <c r="D13" s="16">
        <f>ROUNDUP((B13/$B$5)/8, 0)-1</f>
        <v>15</v>
      </c>
      <c r="E13" s="16">
        <f>ROUNDDOWN((C13/$B$5)/8, 0)-1</f>
        <v>21</v>
      </c>
      <c r="F13" s="16">
        <f>ROUNDUP((E13-D13)*($F$63/100)+D13, 0)</f>
        <v>17</v>
      </c>
      <c r="G13" s="20">
        <f t="shared" si="0"/>
        <v>17</v>
      </c>
      <c r="H13" s="16">
        <f>((G13+1)*8)*$B$5</f>
        <v>71.641791044776127</v>
      </c>
      <c r="I13" t="str">
        <f t="shared" ref="I13:I14" si="1">IF(OR(H13&lt;B13, H13&gt;C13), "fail", "")</f>
        <v/>
      </c>
    </row>
    <row r="14" spans="1:9" x14ac:dyDescent="0.2">
      <c r="A14" s="27" t="s">
        <v>38</v>
      </c>
      <c r="B14" s="25">
        <f>40+4*B5</f>
        <v>41.990049751243781</v>
      </c>
      <c r="C14" s="19">
        <f>85+6*B5</f>
        <v>87.985074626865668</v>
      </c>
      <c r="D14" s="16">
        <f>MAX(ROUNDUP((B14/$B$5-$F$18*4)/8, 0),0)</f>
        <v>11</v>
      </c>
      <c r="E14" s="16">
        <f>MAX(ROUNDDOWN((C14/$B$5-$F$18*4)/8, 0),0)</f>
        <v>22</v>
      </c>
      <c r="F14" s="16">
        <f>ROUNDUP((E14-D14)*($F$61/100)+D14, 0)</f>
        <v>17</v>
      </c>
      <c r="G14" s="20">
        <f t="shared" si="0"/>
        <v>17</v>
      </c>
      <c r="H14" s="16">
        <f>(G14*8+G18*4)*$B$5</f>
        <v>67.661691542288565</v>
      </c>
      <c r="I14" t="str">
        <f t="shared" si="1"/>
        <v/>
      </c>
    </row>
    <row r="15" spans="1:9" x14ac:dyDescent="0.2">
      <c r="A15" s="27" t="s">
        <v>39</v>
      </c>
      <c r="B15" s="25">
        <f>145+10*B5-H14</f>
        <v>82.31343283582089</v>
      </c>
      <c r="C15" s="19"/>
      <c r="D15" s="16">
        <f>ROUNDUP((B15/$B$5 )/8, 0) - 1</f>
        <v>20</v>
      </c>
      <c r="E15" s="16">
        <v>255</v>
      </c>
      <c r="F15" s="16">
        <f>ROUNDUP((E15-D15)*($F$64/100)+D15, 0)</f>
        <v>44</v>
      </c>
      <c r="G15" s="20">
        <f t="shared" si="0"/>
        <v>44</v>
      </c>
      <c r="H15" s="16">
        <f>((G15+1)*8)*$B$5</f>
        <v>179.1044776119403</v>
      </c>
      <c r="I15">
        <f>H14+H15</f>
        <v>246.76616915422886</v>
      </c>
    </row>
    <row r="16" spans="1:9" x14ac:dyDescent="0.2">
      <c r="A16" s="27" t="s">
        <v>40</v>
      </c>
      <c r="B16" s="25">
        <f xml:space="preserve"> 60+4*B5</f>
        <v>61.990049751243781</v>
      </c>
      <c r="C16" s="19">
        <f>C23-$B$7</f>
        <v>90.97014925373135</v>
      </c>
      <c r="D16" s="16">
        <f>ROUNDUP((B16/$B$5)/8, 0)-1</f>
        <v>15</v>
      </c>
      <c r="E16" s="16">
        <f>ROUNDDOWN((C16/$B$5)/8, 0)-1</f>
        <v>21</v>
      </c>
      <c r="F16" s="16">
        <f>ROUNDUP((E16-D16)*($F$63/100)+D16, 0)</f>
        <v>17</v>
      </c>
      <c r="G16" s="20">
        <f t="shared" si="0"/>
        <v>17</v>
      </c>
      <c r="H16" s="16">
        <f>((G16+1)*8)*$B$5</f>
        <v>71.641791044776127</v>
      </c>
      <c r="I16" t="str">
        <f>IF(OR(H16&lt;B16, H16&gt;C16), "fail", "")</f>
        <v/>
      </c>
    </row>
    <row r="17" spans="1:9" x14ac:dyDescent="0.2">
      <c r="A17" s="27" t="s">
        <v>164</v>
      </c>
      <c r="B17" s="25">
        <v>50</v>
      </c>
      <c r="C17" s="19"/>
      <c r="D17" s="16">
        <f>MAX(ROUNDUP((B17/B5+4*F18-8)/8, 0), 0)</f>
        <v>12</v>
      </c>
      <c r="E17" s="16">
        <v>255</v>
      </c>
      <c r="F17" s="16">
        <f>ROUNDUP((E17-D17)*($F$70/100)+D17, 0)</f>
        <v>15</v>
      </c>
      <c r="G17" s="20">
        <f>IF(F17&lt;0, 0, F17)</f>
        <v>15</v>
      </c>
      <c r="H17" s="16">
        <f xml:space="preserve"> ((G17+1)*8 - (G18*4))*$B$5</f>
        <v>63.681592039800996</v>
      </c>
      <c r="I17" t="str">
        <f>IF(H17&lt;B17, "fail", "")</f>
        <v/>
      </c>
    </row>
    <row r="18" spans="1:9" ht="24" customHeight="1" x14ac:dyDescent="0.2">
      <c r="A18" s="76" t="s">
        <v>211</v>
      </c>
      <c r="B18" s="25"/>
      <c r="C18" s="19"/>
      <c r="D18" s="16"/>
      <c r="E18" s="16"/>
      <c r="F18" s="16">
        <f>IF(B3&lt;120, 1, 0)</f>
        <v>0</v>
      </c>
      <c r="G18" s="20">
        <f>IF(F18&lt;0, 0, F18)</f>
        <v>0</v>
      </c>
      <c r="H18" s="16"/>
    </row>
    <row r="19" spans="1:9" x14ac:dyDescent="0.2">
      <c r="A19" s="27" t="s">
        <v>42</v>
      </c>
      <c r="B19" s="25">
        <v>100</v>
      </c>
      <c r="C19" s="19"/>
      <c r="D19" s="16">
        <f t="shared" ref="D19" si="2">ROUNDUP(B19/$B$5/8, 0) - 1</f>
        <v>25</v>
      </c>
      <c r="E19" s="16">
        <v>255</v>
      </c>
      <c r="F19" s="16">
        <f>ROUNDUP((E19-D19)*($F$62/100)+D19, 0)</f>
        <v>48</v>
      </c>
      <c r="G19" s="20">
        <f>IF(F19&lt;0, 0, F19)</f>
        <v>48</v>
      </c>
      <c r="H19" s="16">
        <f t="shared" ref="H19" si="3">(G19+1)*$B$5*8</f>
        <v>195.02487562189054</v>
      </c>
      <c r="I19" t="str">
        <f>IF(H19&lt;B19, "fail", "")</f>
        <v/>
      </c>
    </row>
    <row r="20" spans="1:9" x14ac:dyDescent="0.2">
      <c r="A20" s="27" t="s">
        <v>43</v>
      </c>
      <c r="B20" s="25">
        <f>4*B6</f>
        <v>208.33333333333334</v>
      </c>
      <c r="C20" s="19">
        <f>4*B6</f>
        <v>208.33333333333334</v>
      </c>
      <c r="D20" s="16"/>
      <c r="E20" s="16"/>
      <c r="F20" s="16">
        <f>B20</f>
        <v>208.33333333333334</v>
      </c>
      <c r="G20" s="20">
        <v>2</v>
      </c>
      <c r="H20" s="16">
        <f>(G20+2)*10^3/$B$4</f>
        <v>208.33333333333334</v>
      </c>
    </row>
    <row r="21" spans="1:9" x14ac:dyDescent="0.2">
      <c r="A21" s="27" t="s">
        <v>45</v>
      </c>
      <c r="B21" s="25">
        <f>B6</f>
        <v>52.083333333333336</v>
      </c>
      <c r="C21" s="19">
        <f>2*B6</f>
        <v>104.16666666666667</v>
      </c>
      <c r="D21" s="16"/>
      <c r="E21" s="16"/>
      <c r="F21" s="16">
        <f>B21</f>
        <v>52.083333333333336</v>
      </c>
      <c r="G21" s="20">
        <v>0</v>
      </c>
      <c r="H21" s="16">
        <f>(G21+2)*10^3/$B$4</f>
        <v>104.16666666666667</v>
      </c>
    </row>
    <row r="22" spans="1:9" x14ac:dyDescent="0.2">
      <c r="A22" s="27" t="s">
        <v>44</v>
      </c>
      <c r="B22" s="25">
        <f>5*B6</f>
        <v>260.41666666666669</v>
      </c>
      <c r="C22" s="19">
        <f>5*B6</f>
        <v>260.41666666666669</v>
      </c>
      <c r="D22" s="16"/>
      <c r="E22" s="16"/>
      <c r="F22" s="16">
        <f>B22</f>
        <v>260.41666666666669</v>
      </c>
      <c r="G22" s="20">
        <v>4</v>
      </c>
      <c r="H22" s="16">
        <f>(G22+1)*10^3/$B$4</f>
        <v>260.41666666666669</v>
      </c>
    </row>
    <row r="23" spans="1:9" x14ac:dyDescent="0.2">
      <c r="A23" s="27" t="s">
        <v>90</v>
      </c>
      <c r="B23" s="25"/>
      <c r="C23" s="19">
        <f>105+12*$B$5</f>
        <v>110.97014925373135</v>
      </c>
      <c r="D23" s="16"/>
      <c r="E23" s="16"/>
      <c r="F23" s="16"/>
      <c r="G23" s="21"/>
      <c r="H23" s="16">
        <f>H16+$B$7/2</f>
        <v>81.641791044776127</v>
      </c>
    </row>
    <row r="24" spans="1:9" x14ac:dyDescent="0.2">
      <c r="A24" s="27" t="s">
        <v>91</v>
      </c>
      <c r="B24" s="25"/>
      <c r="C24" s="19">
        <f>105+12*$B$5</f>
        <v>110.97014925373135</v>
      </c>
      <c r="D24" s="16"/>
      <c r="E24" s="16"/>
      <c r="F24" s="16"/>
      <c r="G24" s="21"/>
      <c r="H24" s="16">
        <f>H13 + $B$7/2</f>
        <v>81.641791044776127</v>
      </c>
    </row>
    <row r="25" spans="1:9" x14ac:dyDescent="0.2">
      <c r="A25" s="27" t="s">
        <v>47</v>
      </c>
      <c r="B25" s="25">
        <f>60+52*B5</f>
        <v>85.870646766169159</v>
      </c>
      <c r="C25" s="19"/>
      <c r="D25" s="16">
        <f>ROUNDUP((B25+(G13 + 1) * 8 * $B$5 + 2.5*B5)/(16*B5), 0)-1</f>
        <v>19</v>
      </c>
      <c r="E25" s="16">
        <v>255</v>
      </c>
      <c r="F25" s="16">
        <f>ROUNDUP((E25-D25)*($F$66/100)+D25, 0)</f>
        <v>31</v>
      </c>
      <c r="G25" s="20">
        <f>IF(F25&lt;0, 0, F25)</f>
        <v>31</v>
      </c>
      <c r="H25" s="16">
        <f>(G25+1)*16*B5-0.5*B5-H16</f>
        <v>182.83582089552237</v>
      </c>
    </row>
    <row r="26" spans="1:9" x14ac:dyDescent="0.2">
      <c r="A26" s="27" t="s">
        <v>48</v>
      </c>
      <c r="B26" s="25">
        <f>8*B5</f>
        <v>3.9800995024875623</v>
      </c>
      <c r="C26" s="19"/>
      <c r="D26" s="16">
        <f>ROUNDUP((B26+(G27+1+G10+G12+1)*8*$B$5-2.5*$B$5)/(16*$B$5),0)-1</f>
        <v>48</v>
      </c>
      <c r="E26" s="16">
        <v>255</v>
      </c>
      <c r="F26" s="16">
        <f>ROUNDUP((E26-D26)*($F$65/100)+D26, 0)</f>
        <v>51</v>
      </c>
      <c r="G26" s="20">
        <f>IF(F26&lt;0, 0, IF(D26&gt;E26, ROUNDDOWN(F26/2, 0), F26))</f>
        <v>51</v>
      </c>
      <c r="H26" s="16">
        <f>(G26+1)*16*B5- (G27 + 1 + G10 +G12 + 1)* 8 * $B$5 + 2.5 * $B$5</f>
        <v>33.084577114427859</v>
      </c>
    </row>
    <row r="27" spans="1:9" x14ac:dyDescent="0.2">
      <c r="A27" s="27" t="s">
        <v>176</v>
      </c>
      <c r="B27" s="25">
        <v>50</v>
      </c>
      <c r="C27" s="19"/>
      <c r="D27" s="16">
        <f>MAX(ROUNDUP((B27/$B$5+4*$F$11-8)/8, 0), 0)</f>
        <v>12</v>
      </c>
      <c r="E27" s="16">
        <v>255</v>
      </c>
      <c r="F27" s="16">
        <f>ROUNDUP((E27-D27)*($F$70/100)+D27, 0)</f>
        <v>15</v>
      </c>
      <c r="G27" s="20">
        <f>IF(F27&lt;0, 0, F27)</f>
        <v>15</v>
      </c>
      <c r="H27" s="16">
        <f>IF(G11=0, (G27+1)*$B$5*8, (G27+0.5)*$B$5*8)</f>
        <v>63.681592039800996</v>
      </c>
      <c r="I27" t="str">
        <f>IF(H27&lt;B27, "fail", "")</f>
        <v/>
      </c>
    </row>
    <row r="28" spans="1:9" x14ac:dyDescent="0.2">
      <c r="A28" s="27" t="s">
        <v>127</v>
      </c>
      <c r="B28" s="3"/>
      <c r="C28" s="3"/>
      <c r="D28" s="5"/>
      <c r="H28" s="16">
        <f>SUM(H10:H17) +  H19+SUM(H25:H27)  +B6+8*B5</f>
        <v>1302.8296019900497</v>
      </c>
    </row>
    <row r="29" spans="1:9" x14ac:dyDescent="0.2">
      <c r="A29" s="93"/>
      <c r="B29" s="3"/>
      <c r="C29" s="3"/>
      <c r="D29" s="5"/>
      <c r="H29" s="4"/>
    </row>
    <row r="30" spans="1:9" ht="15.75" x14ac:dyDescent="0.25">
      <c r="A30" s="94" t="s">
        <v>263</v>
      </c>
      <c r="B30" s="132" t="s">
        <v>254</v>
      </c>
      <c r="C30" s="128"/>
      <c r="D30" s="129" t="s">
        <v>77</v>
      </c>
      <c r="E30" s="129"/>
      <c r="F30" s="129"/>
      <c r="G30" s="39" t="s">
        <v>126</v>
      </c>
      <c r="H30" s="133" t="s">
        <v>180</v>
      </c>
    </row>
    <row r="31" spans="1:9" x14ac:dyDescent="0.2">
      <c r="A31" s="27"/>
      <c r="B31" s="24" t="s">
        <v>50</v>
      </c>
      <c r="C31" s="17" t="s">
        <v>51</v>
      </c>
      <c r="D31" s="40" t="s">
        <v>63</v>
      </c>
      <c r="E31" s="40" t="s">
        <v>64</v>
      </c>
      <c r="F31" s="18"/>
      <c r="G31" s="39"/>
      <c r="H31" s="134"/>
    </row>
    <row r="32" spans="1:9" x14ac:dyDescent="0.2">
      <c r="A32" s="27" t="s">
        <v>252</v>
      </c>
      <c r="B32" s="28">
        <f>IF(B3&gt;1500, B5*(2^15), 0)</f>
        <v>16302.487562189055</v>
      </c>
      <c r="C32" s="28">
        <f>IF(B3&gt;1500, 100*1000, 0)</f>
        <v>100000</v>
      </c>
      <c r="D32" s="92">
        <f>IF(B3&gt;1500, ROUNDUP((B32+1000)/(8*$B$5),0), 0)</f>
        <v>4348</v>
      </c>
      <c r="E32" s="92">
        <f>IF(B3&gt;1500, ROUNDDOWN((C32+1000)/(8*$B$5), 0), 0)</f>
        <v>25376</v>
      </c>
      <c r="F32" s="23">
        <f>ROUNDUP((E32-D32)*($F$68/100)+D32, 0)</f>
        <v>5400</v>
      </c>
      <c r="G32" s="23">
        <f>IF(F32&lt;0, 0, F32)</f>
        <v>5400</v>
      </c>
      <c r="H32" s="16">
        <f>IF(G32&gt;0, G32*8*B5-1000, 0)</f>
        <v>20492.537313432837</v>
      </c>
      <c r="I32" t="str">
        <f>IF(OR(H32&lt;B32, H32&gt;C32), "fail", "")</f>
        <v/>
      </c>
    </row>
    <row r="33" spans="1:9" x14ac:dyDescent="0.2">
      <c r="A33" s="27" t="s">
        <v>253</v>
      </c>
      <c r="B33" s="28">
        <f>IF(B3&gt;1500, B5*(2^12), 0)</f>
        <v>2037.8109452736319</v>
      </c>
      <c r="C33" s="28">
        <f>IF(B3&gt;1500,
         MIN(10,
                   IF(AND('DSI and MDP registers'!C113&lt;5, 'DSI and MDP registers'!C30=1),
                        'DSI and MDP registers'!C113-2*((H14+H15+H16+H17+H19)/1000),
                        'DSI and MDP registers'!C113-2*(H28/1000)
                       )
                   )*1000,
          0)</f>
        <v>4801.7482034273089</v>
      </c>
      <c r="D33" s="92">
        <f>IF(B3&gt;1500,
       IF(AND('DSI and MDP registers'!C113&lt;5, 'DSI and MDP registers'!C30=1),
           ROUNDUP((B33+I15+H17)/(8*$B$5),0),
           ROUNDUP((B33+I12+H27+H26)/(8*$B$5),0)
          ),
      0)</f>
        <v>617</v>
      </c>
      <c r="E33" s="92" t="e">
        <f ca="1">_xlfn.SINGLE(IF(B3&gt;1500,
       IF(AND('DSI and MDP registers'!C113&lt;5, 'DSI and MDP registers'!C30=1),
           ROUNDDOWN((C33+I15+H17)/(8*$B$5),0),
           ROUNDDOWN((C33+I12+H27+H26)/(8*$B$5),0)
          ),
      0))</f>
        <v>#NAME?</v>
      </c>
      <c r="F33" s="23" t="e">
        <f ca="1">ROUNDUP((E33-D33)*($F$69/100)+D33, 0)</f>
        <v>#NAME?</v>
      </c>
      <c r="G33" s="23" t="e">
        <f ca="1">IF(F33&lt;0, 0, F33)</f>
        <v>#NAME?</v>
      </c>
      <c r="H33" s="16" t="e">
        <f ca="1">IF(G33&gt;0,
       IF(AND('DSI and MDP registers'!C113&lt;5, 'DSI and MDP registers'!C30=1),
           G33*8*B5-I15-H17,
           G33*8*B5-I12-H27-H26
          ),
     0)</f>
        <v>#NAME?</v>
      </c>
      <c r="I33" t="e">
        <f ca="1">IF(OR(H33&lt;B33,
             H33&gt;C33,
             IF(AND('DSI and MDP registers'!C113&lt;5, 'DSI and MDP registers'!C30=1),
                 (H33+2*(H14+H15+H16+H17+H19)&gt;'DSI and MDP registers'!C113*1000),
                 (H33+2*H28&gt;'DSI and MDP registers'!C113*1000)
                )
             ),
        "fail",
        ""
      )</f>
        <v>#NAME?</v>
      </c>
    </row>
    <row r="34" spans="1:9" ht="38.25" x14ac:dyDescent="0.2">
      <c r="A34" s="73" t="s">
        <v>260</v>
      </c>
      <c r="B34" s="28"/>
      <c r="C34" s="28"/>
      <c r="D34" s="92">
        <f>ROUNDUP(11.5+13/'DSI and MDP registers'!C4/'DSI and MDP registers'!C3/2+('DSI PHY 4.0.0 DPHY timing'!G16+'DSI PHY 4.0.0 DPHY timing'!G19+1)/2+2, 0)</f>
        <v>48</v>
      </c>
      <c r="E34" s="92"/>
      <c r="F34" s="23"/>
      <c r="G34" s="23">
        <f>D34</f>
        <v>48</v>
      </c>
      <c r="H34" s="16">
        <f>(G34+1)*16*B5-H16</f>
        <v>318.40796019900495</v>
      </c>
    </row>
    <row r="35" spans="1:9" x14ac:dyDescent="0.2">
      <c r="A35" s="10"/>
      <c r="B35" s="6"/>
      <c r="C35" s="6"/>
    </row>
    <row r="36" spans="1:9" ht="18" x14ac:dyDescent="0.25">
      <c r="A36" s="91" t="s">
        <v>250</v>
      </c>
    </row>
    <row r="37" spans="1:9" x14ac:dyDescent="0.2">
      <c r="A37" s="27" t="s">
        <v>245</v>
      </c>
      <c r="B37" s="28" t="s">
        <v>128</v>
      </c>
      <c r="C37" s="3"/>
    </row>
    <row r="38" spans="1:9" x14ac:dyDescent="0.2">
      <c r="A38" s="27" t="s">
        <v>214</v>
      </c>
      <c r="B38" s="23" t="str">
        <f>DEC2HEX(G11*2+G18)</f>
        <v>0</v>
      </c>
      <c r="C38" s="13" t="s">
        <v>215</v>
      </c>
    </row>
    <row r="39" spans="1:9" x14ac:dyDescent="0.2">
      <c r="A39" s="27" t="s">
        <v>216</v>
      </c>
      <c r="B39" s="23" t="str">
        <f>DEC2HEX(G12)</f>
        <v>3E</v>
      </c>
      <c r="C39" s="13" t="s">
        <v>34</v>
      </c>
    </row>
    <row r="40" spans="1:9" x14ac:dyDescent="0.2">
      <c r="A40" s="27" t="s">
        <v>217</v>
      </c>
      <c r="B40" s="23" t="str">
        <f>DEC2HEX(G10)</f>
        <v>11</v>
      </c>
      <c r="C40" s="13" t="s">
        <v>32</v>
      </c>
    </row>
    <row r="41" spans="1:9" x14ac:dyDescent="0.2">
      <c r="A41" s="27" t="s">
        <v>218</v>
      </c>
      <c r="B41" s="23" t="str">
        <f>DEC2HEX(G13)</f>
        <v>11</v>
      </c>
      <c r="C41" s="13" t="s">
        <v>35</v>
      </c>
    </row>
    <row r="42" spans="1:9" x14ac:dyDescent="0.2">
      <c r="A42" s="27" t="s">
        <v>219</v>
      </c>
      <c r="B42" s="23" t="str">
        <f>DEC2HEX(G19)</f>
        <v>30</v>
      </c>
      <c r="C42" s="13" t="s">
        <v>42</v>
      </c>
    </row>
    <row r="43" spans="1:9" x14ac:dyDescent="0.2">
      <c r="A43" s="27" t="s">
        <v>220</v>
      </c>
      <c r="B43" s="23" t="str">
        <f>DEC2HEX(G15)</f>
        <v>2C</v>
      </c>
      <c r="C43" s="13" t="s">
        <v>39</v>
      </c>
    </row>
    <row r="44" spans="1:9" x14ac:dyDescent="0.2">
      <c r="A44" s="27" t="s">
        <v>221</v>
      </c>
      <c r="B44" s="23" t="str">
        <f>DEC2HEX(G14)</f>
        <v>11</v>
      </c>
      <c r="C44" s="13" t="s">
        <v>38</v>
      </c>
    </row>
    <row r="45" spans="1:9" x14ac:dyDescent="0.2">
      <c r="A45" s="27" t="s">
        <v>222</v>
      </c>
      <c r="B45" s="23" t="str">
        <f>DEC2HEX(G16)</f>
        <v>11</v>
      </c>
      <c r="C45" s="13" t="s">
        <v>40</v>
      </c>
    </row>
    <row r="46" spans="1:9" x14ac:dyDescent="0.2">
      <c r="A46" s="27" t="s">
        <v>223</v>
      </c>
      <c r="B46" s="23" t="str">
        <f>DEC2HEX(MAX(G17, G27))</f>
        <v>F</v>
      </c>
      <c r="C46" s="13" t="s">
        <v>41</v>
      </c>
    </row>
    <row r="47" spans="1:9" x14ac:dyDescent="0.2">
      <c r="A47" s="27" t="s">
        <v>224</v>
      </c>
      <c r="B47" s="23" t="str">
        <f>DEC2HEX(G21*2^4+G20)</f>
        <v>2</v>
      </c>
      <c r="C47" s="13" t="s">
        <v>251</v>
      </c>
    </row>
    <row r="48" spans="1:9" x14ac:dyDescent="0.2">
      <c r="A48" s="27" t="s">
        <v>225</v>
      </c>
      <c r="B48" s="23" t="str">
        <f>DEC2HEX(G22)</f>
        <v>4</v>
      </c>
      <c r="C48" s="13" t="s">
        <v>44</v>
      </c>
    </row>
    <row r="49" spans="1:9" x14ac:dyDescent="0.2">
      <c r="A49" s="27" t="s">
        <v>246</v>
      </c>
      <c r="B49" s="23" t="str">
        <f>DEC2HEX(G26)</f>
        <v>33</v>
      </c>
      <c r="C49" s="13" t="s">
        <v>48</v>
      </c>
    </row>
    <row r="50" spans="1:9" x14ac:dyDescent="0.2">
      <c r="A50" s="27" t="s">
        <v>247</v>
      </c>
      <c r="B50" s="23" t="str">
        <f>IF(AND('DSI and MDP registers'!C29, 'DSI and MDP registers'!C30, 'DSI and MDP registers'!C113&lt;5),
       DEC2HEX(MAX(G25, G34)),
       DEC2HEX(G25)
      )</f>
        <v>1F</v>
      </c>
      <c r="C50" s="13" t="s">
        <v>47</v>
      </c>
    </row>
    <row r="51" spans="1:9" x14ac:dyDescent="0.2">
      <c r="A51" s="27" t="s">
        <v>248</v>
      </c>
      <c r="B51" s="65">
        <f>0</f>
        <v>0</v>
      </c>
      <c r="C51" s="13"/>
    </row>
    <row r="52" spans="1:9" x14ac:dyDescent="0.2">
      <c r="A52" s="77"/>
      <c r="B52" s="23"/>
      <c r="C52" s="13"/>
    </row>
    <row r="53" spans="1:9" ht="18" x14ac:dyDescent="0.25">
      <c r="A53" s="66" t="s">
        <v>81</v>
      </c>
      <c r="B53" s="23"/>
    </row>
    <row r="54" spans="1:9" x14ac:dyDescent="0.2">
      <c r="A54" s="27" t="s">
        <v>147</v>
      </c>
      <c r="B54" s="65">
        <f>0</f>
        <v>0</v>
      </c>
      <c r="C54" s="13"/>
    </row>
    <row r="55" spans="1:9" x14ac:dyDescent="0.2">
      <c r="A55" s="27" t="s">
        <v>148</v>
      </c>
      <c r="B55" s="65">
        <f>0</f>
        <v>0</v>
      </c>
    </row>
    <row r="56" spans="1:9" x14ac:dyDescent="0.2">
      <c r="A56" s="27" t="s">
        <v>249</v>
      </c>
      <c r="B56" s="65">
        <f>0</f>
        <v>0</v>
      </c>
    </row>
    <row r="57" spans="1:9" ht="25.5" x14ac:dyDescent="0.2">
      <c r="A57" s="73" t="s">
        <v>257</v>
      </c>
      <c r="B57" s="23" t="str">
        <f>DEC2HEX(G32*2^16+1000/8/B5)</f>
        <v>151800FB</v>
      </c>
    </row>
    <row r="58" spans="1:9" ht="25.5" x14ac:dyDescent="0.2">
      <c r="A58" s="73" t="s">
        <v>258</v>
      </c>
      <c r="B58" s="23">
        <f>IF('DSI and MDP registers'!C29=1,
        IF('DSI and MDP registers'!C113&gt;5,
             DEC2HEX(G33*2^16+1000/8/B5),
             DEC2HEX(G33*2^16)
            ),
         0)</f>
        <v>0</v>
      </c>
    </row>
    <row r="59" spans="1:9" ht="38.25" x14ac:dyDescent="0.2">
      <c r="A59" s="73" t="s">
        <v>259</v>
      </c>
      <c r="B59" s="23">
        <f>IF(AND('DSI and MDP registers'!C29, 'DSI and MDP registers'!C30, 'DSI and MDP registers'!C113&lt;5), 1, 0)</f>
        <v>0</v>
      </c>
      <c r="F59" s="3" t="s">
        <v>615</v>
      </c>
      <c r="G59" s="3"/>
      <c r="H59" s="3" t="s">
        <v>616</v>
      </c>
      <c r="I59" s="3" t="s">
        <v>617</v>
      </c>
    </row>
    <row r="60" spans="1:9" x14ac:dyDescent="0.2">
      <c r="E60" s="14" t="s">
        <v>98</v>
      </c>
      <c r="F60">
        <f t="shared" ref="F60:F69" si="4">IF(PHY_TIMING_MARGIN=1, I60,H60)</f>
        <v>50</v>
      </c>
      <c r="H60">
        <v>50</v>
      </c>
      <c r="I60">
        <v>50</v>
      </c>
    </row>
    <row r="61" spans="1:9" x14ac:dyDescent="0.2">
      <c r="E61" s="14" t="s">
        <v>99</v>
      </c>
      <c r="F61">
        <f t="shared" si="4"/>
        <v>50</v>
      </c>
      <c r="H61">
        <v>50</v>
      </c>
      <c r="I61">
        <v>50</v>
      </c>
    </row>
    <row r="62" spans="1:9" x14ac:dyDescent="0.2">
      <c r="E62" s="14" t="s">
        <v>93</v>
      </c>
      <c r="F62">
        <f t="shared" si="4"/>
        <v>10</v>
      </c>
      <c r="H62">
        <v>10</v>
      </c>
      <c r="I62">
        <v>5</v>
      </c>
    </row>
    <row r="63" spans="1:9" x14ac:dyDescent="0.2">
      <c r="E63" s="14" t="s">
        <v>94</v>
      </c>
      <c r="F63">
        <f t="shared" si="4"/>
        <v>30</v>
      </c>
      <c r="H63">
        <v>30</v>
      </c>
      <c r="I63">
        <f>IF(B3 &gt;= 1000, 30, 10)</f>
        <v>30</v>
      </c>
    </row>
    <row r="64" spans="1:9" x14ac:dyDescent="0.2">
      <c r="E64" s="14" t="s">
        <v>183</v>
      </c>
      <c r="F64">
        <f t="shared" si="4"/>
        <v>10</v>
      </c>
      <c r="H64">
        <v>10</v>
      </c>
      <c r="I64">
        <f>IF('DSI and MDP registers'!C2 &lt; 120, 10, 5)</f>
        <v>10</v>
      </c>
    </row>
    <row r="65" spans="5:9" x14ac:dyDescent="0.2">
      <c r="E65" s="14" t="s">
        <v>226</v>
      </c>
      <c r="F65">
        <f t="shared" si="4"/>
        <v>1.25</v>
      </c>
      <c r="H65">
        <v>1.25</v>
      </c>
      <c r="I65">
        <v>0.5</v>
      </c>
    </row>
    <row r="66" spans="5:9" x14ac:dyDescent="0.2">
      <c r="E66" s="14" t="s">
        <v>227</v>
      </c>
      <c r="F66">
        <f t="shared" si="4"/>
        <v>5</v>
      </c>
      <c r="H66">
        <v>5</v>
      </c>
      <c r="I66">
        <v>0.5</v>
      </c>
    </row>
    <row r="67" spans="5:9" x14ac:dyDescent="0.2">
      <c r="E67" s="14" t="s">
        <v>200</v>
      </c>
      <c r="F67">
        <f t="shared" si="4"/>
        <v>2</v>
      </c>
      <c r="H67">
        <v>2</v>
      </c>
      <c r="I67">
        <f>IF(B3&gt;= 1500, 4, 2)</f>
        <v>4</v>
      </c>
    </row>
    <row r="68" spans="5:9" x14ac:dyDescent="0.2">
      <c r="E68" s="14" t="s">
        <v>255</v>
      </c>
      <c r="F68">
        <f t="shared" si="4"/>
        <v>5</v>
      </c>
      <c r="H68">
        <v>5</v>
      </c>
      <c r="I68">
        <v>5</v>
      </c>
    </row>
    <row r="69" spans="5:9" x14ac:dyDescent="0.2">
      <c r="E69" s="14" t="s">
        <v>256</v>
      </c>
      <c r="F69">
        <f t="shared" si="4"/>
        <v>5</v>
      </c>
      <c r="H69">
        <v>5</v>
      </c>
      <c r="I69">
        <v>5</v>
      </c>
    </row>
    <row r="70" spans="5:9" x14ac:dyDescent="0.2">
      <c r="E70" s="14" t="s">
        <v>622</v>
      </c>
      <c r="F70">
        <f>IF(B3&gt;=500, 1, 0.05)</f>
        <v>1</v>
      </c>
    </row>
  </sheetData>
  <mergeCells count="6">
    <mergeCell ref="B8:C8"/>
    <mergeCell ref="D8:F8"/>
    <mergeCell ref="H8:H9"/>
    <mergeCell ref="B30:C30"/>
    <mergeCell ref="D30:F30"/>
    <mergeCell ref="H30:H31"/>
  </mergeCells>
  <phoneticPr fontId="51" type="noConversion"/>
  <pageMargins left="0.25" right="0.25" top="0.75" bottom="0.65" header="0.3" footer="0.3"/>
  <pageSetup scale="77" orientation="portrait" r:id="rId1"/>
  <headerFooter scaleWithDoc="0">
    <oddFooter xml:space="preserve">&amp;L&amp;"Arial"&amp;8 80-NH713-1 YG
&amp;C&amp;"Arial"&amp;8Confidential – Qualcomm Technologies, Inc. and/or its affiliated companies – May Contain Trade Secrets
&amp;"Arial,Bold"&amp;8MAY CONTAIN U.S. AND INTERNATIONAL EXPORT CONTROLLED INFORMATION&amp;R&amp;"Arial"&amp;8 &amp;P
</oddFoot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620F9-CDB8-4C94-9A6D-5ABF66EE7756}">
  <sheetPr codeName="Sheet9">
    <pageSetUpPr fitToPage="1"/>
  </sheetPr>
  <dimension ref="A1:I43"/>
  <sheetViews>
    <sheetView workbookViewId="0"/>
  </sheetViews>
  <sheetFormatPr defaultRowHeight="12.75" x14ac:dyDescent="0.2"/>
  <cols>
    <col min="1" max="1" width="40" customWidth="1"/>
    <col min="2" max="2" width="25.5703125" customWidth="1"/>
    <col min="6" max="6" width="17.140625" customWidth="1"/>
    <col min="7" max="7" width="24.42578125" customWidth="1"/>
    <col min="8" max="8" width="22.42578125" customWidth="1"/>
  </cols>
  <sheetData>
    <row r="1" spans="1:9" ht="18" x14ac:dyDescent="0.25">
      <c r="A1" s="8" t="s">
        <v>80</v>
      </c>
    </row>
    <row r="2" spans="1:9" ht="18" x14ac:dyDescent="0.25">
      <c r="A2" s="12" t="s">
        <v>125</v>
      </c>
      <c r="B2" s="11"/>
      <c r="G2" s="15"/>
    </row>
    <row r="3" spans="1:9" x14ac:dyDescent="0.2">
      <c r="A3" s="22" t="s">
        <v>96</v>
      </c>
      <c r="B3" s="62">
        <f>ROUNDDOWN('DSI and MDP registers'!C105, 0)</f>
        <v>2010</v>
      </c>
      <c r="C3" t="s">
        <v>15</v>
      </c>
    </row>
    <row r="4" spans="1:9" x14ac:dyDescent="0.2">
      <c r="A4" s="22" t="s">
        <v>33</v>
      </c>
      <c r="B4" s="63">
        <f>'DSI and MDP registers'!C21/'DSI and MDP registers'!C22</f>
        <v>19.2</v>
      </c>
      <c r="C4" t="s">
        <v>15</v>
      </c>
    </row>
    <row r="5" spans="1:9" x14ac:dyDescent="0.2">
      <c r="A5" s="22" t="s">
        <v>36</v>
      </c>
      <c r="B5" s="16">
        <f>10^3/B3</f>
        <v>0.49751243781094528</v>
      </c>
      <c r="C5" t="s">
        <v>37</v>
      </c>
    </row>
    <row r="6" spans="1:9" x14ac:dyDescent="0.2">
      <c r="A6" s="22" t="s">
        <v>46</v>
      </c>
      <c r="B6" s="16">
        <f>10^3/B4</f>
        <v>52.083333333333336</v>
      </c>
      <c r="C6" t="s">
        <v>37</v>
      </c>
    </row>
    <row r="7" spans="1:9" x14ac:dyDescent="0.2">
      <c r="A7" s="22" t="s">
        <v>89</v>
      </c>
      <c r="B7" s="23">
        <v>20</v>
      </c>
      <c r="C7" t="s">
        <v>37</v>
      </c>
    </row>
    <row r="8" spans="1:9" x14ac:dyDescent="0.2">
      <c r="A8" s="26"/>
      <c r="B8" s="127" t="s">
        <v>621</v>
      </c>
      <c r="C8" s="128"/>
      <c r="D8" s="129" t="s">
        <v>77</v>
      </c>
      <c r="E8" s="129"/>
      <c r="F8" s="129"/>
      <c r="G8" s="39" t="s">
        <v>126</v>
      </c>
      <c r="H8" s="130" t="s">
        <v>180</v>
      </c>
    </row>
    <row r="9" spans="1:9" x14ac:dyDescent="0.2">
      <c r="A9" s="27"/>
      <c r="B9" s="24" t="s">
        <v>50</v>
      </c>
      <c r="C9" s="17" t="s">
        <v>51</v>
      </c>
      <c r="D9" s="40" t="s">
        <v>63</v>
      </c>
      <c r="E9" s="40" t="s">
        <v>64</v>
      </c>
      <c r="F9" s="18"/>
      <c r="G9" s="39" t="s">
        <v>49</v>
      </c>
      <c r="H9" s="131"/>
    </row>
    <row r="10" spans="1:9" x14ac:dyDescent="0.2">
      <c r="A10" s="27" t="s">
        <v>594</v>
      </c>
      <c r="B10" s="25">
        <v>38</v>
      </c>
      <c r="C10" s="19">
        <v>95</v>
      </c>
      <c r="D10" s="16">
        <f>MAX(ROUNDUP((B10/$B$5-$F$11*3)/7, 0),0)</f>
        <v>11</v>
      </c>
      <c r="E10" s="16">
        <f>MAX(ROUNDDOWN((C10/$B$5-$F$11*3)/7, 0),0)</f>
        <v>27</v>
      </c>
      <c r="F10" s="16">
        <f>ROUNDUP((E10-D10)*($F$39/100)+D10, 0)</f>
        <v>19</v>
      </c>
      <c r="G10" s="20">
        <f t="shared" ref="G10:G13" si="0">IF(F10&lt;0, 0, F10)</f>
        <v>19</v>
      </c>
      <c r="H10" s="16">
        <f>(G10*7+G11*3)*$B$5</f>
        <v>66.169154228855717</v>
      </c>
      <c r="I10" t="str">
        <f>IF(OR(H10&lt;B10, H10&gt;C10), "fail", "")</f>
        <v/>
      </c>
    </row>
    <row r="11" spans="1:9" ht="25.5" x14ac:dyDescent="0.2">
      <c r="A11" s="76" t="s">
        <v>595</v>
      </c>
      <c r="B11" s="25"/>
      <c r="C11" s="19"/>
      <c r="D11" s="16"/>
      <c r="E11" s="16"/>
      <c r="F11" s="16">
        <f>IF(AND(B3 &lt; 80), 1, 0)</f>
        <v>0</v>
      </c>
      <c r="G11" s="20">
        <f t="shared" si="0"/>
        <v>0</v>
      </c>
      <c r="H11" s="16"/>
    </row>
    <row r="12" spans="1:9" x14ac:dyDescent="0.2">
      <c r="A12" s="27" t="s">
        <v>596</v>
      </c>
      <c r="B12" s="25">
        <f>MIN(300-B10-B5*7, C12)</f>
        <v>222.88557213930349</v>
      </c>
      <c r="C12" s="19">
        <f>448*B5</f>
        <v>222.88557213930349</v>
      </c>
      <c r="D12" s="16">
        <f>ROUNDUP((B12/$B$5)/7, 0) - 1</f>
        <v>63</v>
      </c>
      <c r="E12" s="16">
        <f>ROUNDDOWN((C12/$B$5)/7, 0) - 1</f>
        <v>63</v>
      </c>
      <c r="F12" s="16">
        <f>ROUNDUP((E12-D12)*($F$40/100)+D12, 0)</f>
        <v>63</v>
      </c>
      <c r="G12" s="20">
        <f t="shared" si="0"/>
        <v>63</v>
      </c>
      <c r="H12" s="16">
        <f>((G12+1)*7)*$B$5</f>
        <v>222.88557213930349</v>
      </c>
      <c r="I12" t="str">
        <f t="shared" ref="I12:I13" si="1">IF(OR(H12&lt;B12, H12&gt;C12), "fail", "")</f>
        <v/>
      </c>
    </row>
    <row r="13" spans="1:9" x14ac:dyDescent="0.2">
      <c r="A13" s="27" t="s">
        <v>597</v>
      </c>
      <c r="B13" s="25">
        <f>7*B5</f>
        <v>3.4825870646766171</v>
      </c>
      <c r="C13" s="19">
        <f>224*B5</f>
        <v>111.44278606965175</v>
      </c>
      <c r="D13" s="16">
        <f>ROUNDUP((B13/$B$5)/7, 0)-1</f>
        <v>0</v>
      </c>
      <c r="E13" s="16">
        <f>ROUNDDOWN((C13/$B$5)/7, 0)-1</f>
        <v>31</v>
      </c>
      <c r="F13" s="16">
        <f>ROUNDUP((E13-D13)*($F$41/100)+D13, 0)</f>
        <v>25</v>
      </c>
      <c r="G13" s="20">
        <f t="shared" si="0"/>
        <v>25</v>
      </c>
      <c r="H13" s="16">
        <f>((G13+1)*7)*$B$5</f>
        <v>90.547263681592042</v>
      </c>
      <c r="I13" t="str">
        <f t="shared" si="1"/>
        <v/>
      </c>
    </row>
    <row r="14" spans="1:9" x14ac:dyDescent="0.2">
      <c r="A14" s="27" t="s">
        <v>164</v>
      </c>
      <c r="B14" s="25">
        <v>50</v>
      </c>
      <c r="C14" s="19"/>
      <c r="D14" s="16">
        <f>MAX(ROUNDUP((B14/B5+4*F11-7)/7, 0), 0)</f>
        <v>14</v>
      </c>
      <c r="E14" s="16">
        <v>255</v>
      </c>
      <c r="F14" s="16">
        <f>ROUNDUP((E14-D14)*($F$43/100)+D14, 0)</f>
        <v>17</v>
      </c>
      <c r="G14" s="20">
        <f>IF(F14&lt;0, 0, F14)</f>
        <v>17</v>
      </c>
      <c r="H14" s="16">
        <f xml:space="preserve"> ((G14+1)*7 - (G11*4))*$B$5</f>
        <v>62.686567164179102</v>
      </c>
      <c r="I14" t="str">
        <f>IF(H14&lt;B14, "fail", "")</f>
        <v/>
      </c>
    </row>
    <row r="15" spans="1:9" x14ac:dyDescent="0.2">
      <c r="A15" s="27" t="s">
        <v>42</v>
      </c>
      <c r="B15" s="25">
        <v>100</v>
      </c>
      <c r="C15" s="19"/>
      <c r="D15" s="16">
        <f>ROUNDUP(B15/$B$5/7, 0) - 1</f>
        <v>28</v>
      </c>
      <c r="E15" s="16">
        <v>255</v>
      </c>
      <c r="F15" s="16">
        <f>ROUNDUP((E15-D15)*($F$42/100)+D15, 0)</f>
        <v>51</v>
      </c>
      <c r="G15" s="20">
        <f>IF(F15&lt;0, 0, F15)</f>
        <v>51</v>
      </c>
      <c r="H15" s="16">
        <f>(G15+1)*$B$5*7</f>
        <v>181.09452736318408</v>
      </c>
      <c r="I15" t="str">
        <f>IF(H15&lt;B15, "fail", "")</f>
        <v/>
      </c>
    </row>
    <row r="16" spans="1:9" x14ac:dyDescent="0.2">
      <c r="A16" s="27" t="s">
        <v>43</v>
      </c>
      <c r="B16" s="25">
        <f>4*B6</f>
        <v>208.33333333333334</v>
      </c>
      <c r="C16" s="19">
        <f>4*B6</f>
        <v>208.33333333333334</v>
      </c>
      <c r="D16" s="16"/>
      <c r="E16" s="16"/>
      <c r="F16" s="16">
        <f>B16</f>
        <v>208.33333333333334</v>
      </c>
      <c r="G16" s="20">
        <v>2</v>
      </c>
      <c r="H16" s="16">
        <f>(G16+1)*10^3/$B$4</f>
        <v>156.25</v>
      </c>
    </row>
    <row r="17" spans="1:8" x14ac:dyDescent="0.2">
      <c r="A17" s="27" t="s">
        <v>45</v>
      </c>
      <c r="B17" s="25">
        <f>B6</f>
        <v>52.083333333333336</v>
      </c>
      <c r="C17" s="19">
        <f>2*B6</f>
        <v>104.16666666666667</v>
      </c>
      <c r="D17" s="16"/>
      <c r="E17" s="16"/>
      <c r="F17" s="16">
        <f>B17</f>
        <v>52.083333333333336</v>
      </c>
      <c r="G17" s="20">
        <v>0</v>
      </c>
      <c r="H17" s="16">
        <f>(G17+2)*10^3/$B$4</f>
        <v>104.16666666666667</v>
      </c>
    </row>
    <row r="18" spans="1:8" x14ac:dyDescent="0.2">
      <c r="A18" s="27" t="s">
        <v>44</v>
      </c>
      <c r="B18" s="25">
        <f>5*B6</f>
        <v>260.41666666666669</v>
      </c>
      <c r="C18" s="19">
        <f>5*B6</f>
        <v>260.41666666666669</v>
      </c>
      <c r="D18" s="16"/>
      <c r="E18" s="16"/>
      <c r="F18" s="16">
        <f>B18</f>
        <v>260.41666666666669</v>
      </c>
      <c r="G18" s="20">
        <v>4</v>
      </c>
      <c r="H18" s="16">
        <f>(G18+1)*10^3/$B$4</f>
        <v>260.41666666666669</v>
      </c>
    </row>
    <row r="19" spans="1:8" x14ac:dyDescent="0.2">
      <c r="A19" s="27" t="s">
        <v>127</v>
      </c>
      <c r="B19" s="3"/>
      <c r="C19" s="3"/>
      <c r="D19" s="5"/>
      <c r="H19" s="16">
        <f>SUM(H10:H14)+7*B5</f>
        <v>445.77114427860698</v>
      </c>
    </row>
    <row r="21" spans="1:8" ht="18" x14ac:dyDescent="0.25">
      <c r="A21" s="64" t="s">
        <v>250</v>
      </c>
    </row>
    <row r="22" spans="1:8" x14ac:dyDescent="0.2">
      <c r="A22" s="27" t="s">
        <v>603</v>
      </c>
      <c r="B22" s="28" t="s">
        <v>128</v>
      </c>
      <c r="C22" s="3"/>
    </row>
    <row r="23" spans="1:8" x14ac:dyDescent="0.2">
      <c r="A23" s="27" t="s">
        <v>214</v>
      </c>
      <c r="B23" s="23" t="str">
        <f>DEC2HEX(G11)</f>
        <v>0</v>
      </c>
      <c r="C23" s="13" t="s">
        <v>215</v>
      </c>
    </row>
    <row r="24" spans="1:8" x14ac:dyDescent="0.2">
      <c r="A24" s="27" t="s">
        <v>219</v>
      </c>
      <c r="B24" s="23" t="str">
        <f>DEC2HEX(G15)</f>
        <v>33</v>
      </c>
      <c r="C24" s="13" t="s">
        <v>598</v>
      </c>
    </row>
    <row r="25" spans="1:8" x14ac:dyDescent="0.2">
      <c r="A25" s="27" t="s">
        <v>220</v>
      </c>
      <c r="B25" s="23" t="str">
        <f>DEC2HEX(G12)</f>
        <v>3F</v>
      </c>
      <c r="C25" s="13" t="s">
        <v>596</v>
      </c>
    </row>
    <row r="26" spans="1:8" x14ac:dyDescent="0.2">
      <c r="A26" s="27" t="s">
        <v>221</v>
      </c>
      <c r="B26" s="23" t="str">
        <f>DEC2HEX(G10)</f>
        <v>13</v>
      </c>
      <c r="C26" s="13" t="s">
        <v>594</v>
      </c>
    </row>
    <row r="27" spans="1:8" x14ac:dyDescent="0.2">
      <c r="A27" s="27" t="s">
        <v>222</v>
      </c>
      <c r="B27" s="23" t="str">
        <f>DEC2HEX(G13)</f>
        <v>19</v>
      </c>
      <c r="C27" s="13" t="s">
        <v>597</v>
      </c>
    </row>
    <row r="28" spans="1:8" x14ac:dyDescent="0.2">
      <c r="A28" s="27" t="s">
        <v>223</v>
      </c>
      <c r="B28" s="23" t="str">
        <f>DEC2HEX(G14)</f>
        <v>11</v>
      </c>
      <c r="C28" s="13" t="s">
        <v>41</v>
      </c>
    </row>
    <row r="29" spans="1:8" x14ac:dyDescent="0.2">
      <c r="A29" s="27" t="s">
        <v>224</v>
      </c>
      <c r="B29" s="23" t="str">
        <f>DEC2HEX(G17*2^4+G16)</f>
        <v>2</v>
      </c>
      <c r="C29" s="13"/>
    </row>
    <row r="30" spans="1:8" x14ac:dyDescent="0.2">
      <c r="A30" s="27" t="s">
        <v>225</v>
      </c>
      <c r="B30" s="23" t="str">
        <f>DEC2HEX(G18)</f>
        <v>4</v>
      </c>
      <c r="C30" s="13"/>
    </row>
    <row r="31" spans="1:8" x14ac:dyDescent="0.2">
      <c r="A31" s="77"/>
      <c r="B31" s="23"/>
      <c r="C31" s="13"/>
    </row>
    <row r="32" spans="1:8" ht="18" x14ac:dyDescent="0.25">
      <c r="A32" s="66" t="s">
        <v>81</v>
      </c>
      <c r="B32" s="23"/>
    </row>
    <row r="33" spans="1:9" x14ac:dyDescent="0.2">
      <c r="A33" s="27" t="s">
        <v>147</v>
      </c>
      <c r="B33" s="65">
        <v>0</v>
      </c>
      <c r="C33" s="13"/>
    </row>
    <row r="34" spans="1:9" x14ac:dyDescent="0.2">
      <c r="A34" s="27" t="s">
        <v>148</v>
      </c>
      <c r="B34" s="65">
        <v>0</v>
      </c>
    </row>
    <row r="38" spans="1:9" x14ac:dyDescent="0.2">
      <c r="F38" s="3"/>
      <c r="G38" s="3"/>
      <c r="H38" s="3"/>
      <c r="I38" s="3"/>
    </row>
    <row r="39" spans="1:9" x14ac:dyDescent="0.2">
      <c r="E39" s="14" t="s">
        <v>599</v>
      </c>
      <c r="F39">
        <v>50</v>
      </c>
    </row>
    <row r="40" spans="1:9" x14ac:dyDescent="0.2">
      <c r="E40" s="14" t="s">
        <v>600</v>
      </c>
      <c r="F40">
        <v>20</v>
      </c>
    </row>
    <row r="41" spans="1:9" x14ac:dyDescent="0.2">
      <c r="E41" s="14" t="s">
        <v>601</v>
      </c>
      <c r="F41">
        <v>80</v>
      </c>
    </row>
    <row r="42" spans="1:9" x14ac:dyDescent="0.2">
      <c r="E42" s="14" t="s">
        <v>602</v>
      </c>
      <c r="F42">
        <v>10</v>
      </c>
    </row>
    <row r="43" spans="1:9" x14ac:dyDescent="0.2">
      <c r="E43" s="14" t="s">
        <v>604</v>
      </c>
      <c r="F43">
        <f>IF(B3&gt;=500, 1, 0.05)</f>
        <v>1</v>
      </c>
    </row>
  </sheetData>
  <mergeCells count="3">
    <mergeCell ref="B8:C8"/>
    <mergeCell ref="D8:F8"/>
    <mergeCell ref="H8:H9"/>
  </mergeCells>
  <phoneticPr fontId="51" type="noConversion"/>
  <pageMargins left="0.25" right="0.25" top="0.75" bottom="0.65" header="0.3" footer="0.3"/>
  <pageSetup scale="77" orientation="portrait" r:id="rId1"/>
  <headerFooter scaleWithDoc="0">
    <oddFooter xml:space="preserve">&amp;L&amp;"Arial"&amp;8 80-NH713-1 YG
&amp;C&amp;"Arial"&amp;8Confidential – Qualcomm Technologies, Inc. and/or its affiliated companies – May Contain Trade Secrets
&amp;"Arial,Bold"&amp;8MAY CONTAIN U.S. AND INTERNATIONAL EXPORT CONTROLLED INFORMATION&amp;R&amp;"Arial"&amp;8 &amp;P
</oddFooter>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pageSetUpPr fitToPage="1"/>
  </sheetPr>
  <dimension ref="A1:J83"/>
  <sheetViews>
    <sheetView workbookViewId="0"/>
  </sheetViews>
  <sheetFormatPr defaultRowHeight="12.75" x14ac:dyDescent="0.2"/>
  <cols>
    <col min="1" max="1" width="82.7109375" customWidth="1"/>
    <col min="2" max="2" width="19" customWidth="1"/>
    <col min="3" max="3" width="16.5703125" customWidth="1"/>
    <col min="4" max="4" width="21.85546875" customWidth="1"/>
    <col min="5" max="5" width="25" customWidth="1"/>
    <col min="6" max="6" width="26" customWidth="1"/>
    <col min="7" max="7" width="22.140625" customWidth="1"/>
    <col min="8" max="8" width="25.5703125" customWidth="1"/>
    <col min="9" max="9" width="28" customWidth="1"/>
    <col min="10" max="10" width="80.42578125" customWidth="1"/>
  </cols>
  <sheetData>
    <row r="1" spans="1:10" ht="18" x14ac:dyDescent="0.25">
      <c r="A1" s="8" t="s">
        <v>80</v>
      </c>
    </row>
    <row r="2" spans="1:10" ht="18" x14ac:dyDescent="0.25">
      <c r="A2" s="12" t="s">
        <v>125</v>
      </c>
      <c r="B2" s="98"/>
      <c r="C2" s="102"/>
      <c r="D2" s="102"/>
      <c r="E2" s="102"/>
      <c r="F2" s="102"/>
      <c r="G2" s="102"/>
      <c r="H2" s="108"/>
      <c r="I2" s="108"/>
      <c r="J2" s="103"/>
    </row>
    <row r="3" spans="1:10" ht="14.25" x14ac:dyDescent="0.2">
      <c r="A3" s="22" t="s">
        <v>96</v>
      </c>
      <c r="B3" s="97">
        <f>ROUNDDOWN('DSI and MDP registers'!C105, 0)</f>
        <v>2010</v>
      </c>
      <c r="C3" s="102" t="s">
        <v>302</v>
      </c>
      <c r="D3" s="109"/>
      <c r="E3" s="109"/>
      <c r="F3" s="109"/>
      <c r="G3" s="102"/>
      <c r="H3" s="102"/>
      <c r="I3" s="102"/>
      <c r="J3" s="103"/>
    </row>
    <row r="4" spans="1:10" ht="14.25" x14ac:dyDescent="0.2">
      <c r="A4" s="22" t="s">
        <v>33</v>
      </c>
      <c r="B4" s="99">
        <f>'DSI and MDP registers'!C21/'DSI and MDP registers'!C22</f>
        <v>19.2</v>
      </c>
      <c r="C4" s="102" t="s">
        <v>15</v>
      </c>
      <c r="D4" s="102"/>
      <c r="E4" s="102"/>
      <c r="F4" s="102"/>
      <c r="G4" s="102"/>
      <c r="H4" s="102"/>
      <c r="I4" s="102"/>
      <c r="J4" s="103"/>
    </row>
    <row r="5" spans="1:10" ht="14.25" x14ac:dyDescent="0.2">
      <c r="A5" s="22" t="s">
        <v>297</v>
      </c>
      <c r="B5" s="99" t="s">
        <v>244</v>
      </c>
      <c r="D5" s="102"/>
      <c r="E5" s="102"/>
      <c r="F5" s="102"/>
      <c r="G5" s="102"/>
      <c r="H5" s="102"/>
      <c r="I5" s="102"/>
      <c r="J5" s="103"/>
    </row>
    <row r="6" spans="1:10" ht="14.25" x14ac:dyDescent="0.2">
      <c r="A6" s="22" t="s">
        <v>36</v>
      </c>
      <c r="B6" s="100">
        <f>10^3/B3</f>
        <v>0.49751243781094528</v>
      </c>
      <c r="C6" s="102" t="s">
        <v>37</v>
      </c>
      <c r="D6" s="102"/>
      <c r="E6" s="109"/>
      <c r="F6" s="109"/>
      <c r="G6" s="109"/>
      <c r="H6" s="102"/>
      <c r="I6" s="102"/>
      <c r="J6" s="110"/>
    </row>
    <row r="7" spans="1:10" ht="14.25" x14ac:dyDescent="0.2">
      <c r="A7" s="22" t="s">
        <v>298</v>
      </c>
      <c r="B7" s="100">
        <v>52</v>
      </c>
      <c r="C7" s="102" t="s">
        <v>37</v>
      </c>
      <c r="D7" s="102"/>
      <c r="E7" s="109"/>
      <c r="F7" s="109"/>
      <c r="G7" s="109"/>
      <c r="H7" s="102"/>
      <c r="I7" s="102"/>
      <c r="J7" s="110"/>
    </row>
    <row r="8" spans="1:10" ht="14.25" x14ac:dyDescent="0.2">
      <c r="A8" s="22" t="s">
        <v>299</v>
      </c>
      <c r="B8" s="100">
        <v>50</v>
      </c>
      <c r="C8" s="102" t="s">
        <v>37</v>
      </c>
      <c r="D8" s="102"/>
      <c r="E8" s="102"/>
      <c r="F8" s="102"/>
      <c r="G8" s="102"/>
      <c r="H8" s="102"/>
      <c r="I8" s="102"/>
      <c r="J8" s="103"/>
    </row>
    <row r="9" spans="1:10" ht="14.25" x14ac:dyDescent="0.2">
      <c r="A9" s="22" t="s">
        <v>300</v>
      </c>
      <c r="B9" s="100">
        <f>ROUNDUP((G20+G22)/TXBYTECLKHS,0)</f>
        <v>43</v>
      </c>
      <c r="C9" t="s">
        <v>303</v>
      </c>
      <c r="D9" s="102"/>
      <c r="E9" s="102"/>
      <c r="F9" s="102"/>
      <c r="G9" s="102"/>
      <c r="H9" s="102"/>
      <c r="I9" s="102"/>
      <c r="J9" s="103"/>
    </row>
    <row r="10" spans="1:10" ht="14.25" x14ac:dyDescent="0.2">
      <c r="A10" s="22" t="s">
        <v>301</v>
      </c>
      <c r="B10" s="101">
        <v>35</v>
      </c>
      <c r="C10" s="102" t="s">
        <v>37</v>
      </c>
      <c r="D10" s="102"/>
      <c r="E10" s="102"/>
      <c r="F10" s="102"/>
      <c r="G10" s="102"/>
      <c r="H10" s="102"/>
      <c r="I10" s="102"/>
      <c r="J10" s="103"/>
    </row>
    <row r="11" spans="1:10" ht="9.6" customHeight="1" x14ac:dyDescent="0.2">
      <c r="A11" s="26"/>
      <c r="B11" s="127" t="s">
        <v>254</v>
      </c>
      <c r="C11" s="140"/>
      <c r="D11" s="40" t="s">
        <v>304</v>
      </c>
      <c r="E11" s="39" t="s">
        <v>126</v>
      </c>
      <c r="F11" s="39" t="s">
        <v>536</v>
      </c>
      <c r="G11" s="130" t="s">
        <v>180</v>
      </c>
      <c r="H11" s="130" t="s">
        <v>305</v>
      </c>
      <c r="I11" s="143" t="s">
        <v>306</v>
      </c>
      <c r="J11" s="135" t="s">
        <v>307</v>
      </c>
    </row>
    <row r="12" spans="1:10" ht="18.399999999999999" customHeight="1" x14ac:dyDescent="0.2">
      <c r="A12" s="27"/>
      <c r="B12" s="24" t="s">
        <v>50</v>
      </c>
      <c r="C12" s="17" t="s">
        <v>51</v>
      </c>
      <c r="D12" s="40"/>
      <c r="E12" s="40"/>
      <c r="F12" s="40"/>
      <c r="G12" s="141"/>
      <c r="H12" s="142"/>
      <c r="I12" s="144"/>
      <c r="J12" s="135"/>
    </row>
    <row r="13" spans="1:10" ht="14.25" x14ac:dyDescent="0.2">
      <c r="A13" s="93" t="s">
        <v>32</v>
      </c>
      <c r="B13" s="25">
        <v>38</v>
      </c>
      <c r="C13" s="19">
        <v>95</v>
      </c>
      <c r="D13" s="100">
        <f>ROUNDUP((C13-B13)*($B$65/100)+B13, 0)</f>
        <v>38</v>
      </c>
      <c r="E13" s="20">
        <f>PREPARE_clocklanes!S1</f>
        <v>21</v>
      </c>
      <c r="F13" s="113" t="s">
        <v>308</v>
      </c>
      <c r="G13" s="100">
        <f>hstxthsprpr_clklane*TXBYTECLKHS + gtp_extension_clklane_factor + HSTX_TEN_DELAY - LPTX_IO_FALL_DELAY</f>
        <v>63.582089552238813</v>
      </c>
      <c r="H13" s="101" t="str">
        <f>IF(OR(G13&lt;B13, G13&gt;C13), "fail", "ok")</f>
        <v>ok</v>
      </c>
      <c r="I13" s="101"/>
      <c r="J13" s="114" t="s">
        <v>309</v>
      </c>
    </row>
    <row r="14" spans="1:10" ht="14.25" x14ac:dyDescent="0.2">
      <c r="A14" s="76" t="s">
        <v>310</v>
      </c>
      <c r="B14" s="25"/>
      <c r="C14" s="19"/>
      <c r="D14" s="100"/>
      <c r="E14" s="20">
        <f>GTP_clocklanes!S1</f>
        <v>0</v>
      </c>
      <c r="F14" s="113" t="s">
        <v>308</v>
      </c>
      <c r="G14" s="100" t="s">
        <v>311</v>
      </c>
      <c r="H14" s="101"/>
      <c r="I14" s="101"/>
      <c r="J14" s="114" t="s">
        <v>312</v>
      </c>
    </row>
    <row r="15" spans="1:10" ht="14.25" x14ac:dyDescent="0.2">
      <c r="A15" s="93" t="s">
        <v>34</v>
      </c>
      <c r="B15" s="25">
        <f>300-G13</f>
        <v>236.41791044776119</v>
      </c>
      <c r="C15" s="19"/>
      <c r="D15" s="100">
        <f>B15*(1+B70/100)</f>
        <v>236.41791044776119</v>
      </c>
      <c r="E15" s="20">
        <f>MAX(ROUNDUP((T_CLK_ZERO - DELTA + gtp_extension_datalanes_factor + HSTX_TEN_DELAY )/TXBYTECLKHS-4, 0), 0)</f>
        <v>56</v>
      </c>
      <c r="F15" s="20"/>
      <c r="G15" s="100">
        <f>(hstxthszero_clklane+4)*TXBYTECLKHS+DELTA-gtp_extension_datalanes_factor-HSTX_TEN_DELAY</f>
        <v>239.5273631840796</v>
      </c>
      <c r="H15" s="101" t="str">
        <f>IF(G15&lt;B15, "fail", "ok")</f>
        <v>ok</v>
      </c>
      <c r="I15" s="101"/>
      <c r="J15" s="103"/>
    </row>
    <row r="16" spans="1:10" ht="14.25" x14ac:dyDescent="0.2">
      <c r="A16" s="93" t="s">
        <v>35</v>
      </c>
      <c r="B16" s="25">
        <v>60</v>
      </c>
      <c r="C16" s="19">
        <f>C29-$B$10</f>
        <v>75.97014925373135</v>
      </c>
      <c r="D16" s="100">
        <f>ROUNDUP((C16-B16)*(B68/100)+B16, 0)</f>
        <v>60</v>
      </c>
      <c r="E16" s="20">
        <f>ROUNDUP((T_CLK_TRAIL-gtp_extension_clklane_factor+DELTA)/TXBYTECLKHS+1, 0)</f>
        <v>18</v>
      </c>
      <c r="F16" s="20"/>
      <c r="G16" s="100">
        <f>(hstxthstrail_clklane-1)*TXBYTECLKHS+gtp_extension_clklane_factor-DELTA</f>
        <v>61.940298507462693</v>
      </c>
      <c r="H16" s="101" t="str">
        <f>IF(OR(G16&lt;B16, G16&gt;C16), "fail", "ok")</f>
        <v>ok</v>
      </c>
      <c r="I16" s="101"/>
      <c r="J16" s="103"/>
    </row>
    <row r="17" spans="1:10" ht="14.25" x14ac:dyDescent="0.2">
      <c r="A17" s="93" t="s">
        <v>38</v>
      </c>
      <c r="B17" s="25">
        <f>40+4*B6</f>
        <v>41.990049751243781</v>
      </c>
      <c r="C17" s="19">
        <f>85+6*B6</f>
        <v>87.985074626865668</v>
      </c>
      <c r="D17" s="100">
        <f>ROUNDUP((C17-B17)*(B66/100)+B17, 0)</f>
        <v>42</v>
      </c>
      <c r="E17" s="20">
        <f>PREPARE_datalanes!S1</f>
        <v>20</v>
      </c>
      <c r="F17" s="113" t="s">
        <v>308</v>
      </c>
      <c r="G17" s="100">
        <f>hstxthsprpr_datalanes*TXBYTECLKHS+gtp_extension_datalanes_factor+HSTX_TEN_DELAY-LPTX_IO_FALL_DELAY</f>
        <v>59.601990049751251</v>
      </c>
      <c r="H17" s="101" t="str">
        <f>IF(OR(G17&lt;B17, G17&gt;C17), "fail", "ok")</f>
        <v>ok</v>
      </c>
      <c r="I17" s="101"/>
      <c r="J17" s="114" t="s">
        <v>313</v>
      </c>
    </row>
    <row r="18" spans="1:10" ht="14.25" x14ac:dyDescent="0.2">
      <c r="A18" s="76" t="s">
        <v>314</v>
      </c>
      <c r="B18" s="25"/>
      <c r="C18" s="19"/>
      <c r="D18" s="100"/>
      <c r="E18" s="20">
        <f>GTP_datalanes!S1</f>
        <v>0</v>
      </c>
      <c r="F18" s="113" t="s">
        <v>308</v>
      </c>
      <c r="G18" s="100"/>
      <c r="H18" s="101"/>
      <c r="I18" s="101"/>
      <c r="J18" s="114" t="s">
        <v>315</v>
      </c>
    </row>
    <row r="19" spans="1:10" ht="14.25" x14ac:dyDescent="0.2">
      <c r="A19" s="93" t="s">
        <v>39</v>
      </c>
      <c r="B19" s="25">
        <f>145+10*B6-G17</f>
        <v>90.373134328358205</v>
      </c>
      <c r="C19" s="19"/>
      <c r="D19" s="100">
        <f>ROUNDUP(B19*(B69/100)+B19, 0)</f>
        <v>91</v>
      </c>
      <c r="E19" s="20">
        <f>MAX(ROUNDUP((T_HS_ZERO-WADDR_minus_RADDR*TXBYTECLKHS-PHI-DELTA+gtp_extension_datalanes_factor+HSTX_TEN_DELAY)/TXBYTECLKHS-2, 0), 0)</f>
        <v>15</v>
      </c>
      <c r="F19" s="20"/>
      <c r="G19" s="100">
        <f>(hstxthszero_datalanes+2)*TXBYTECLKHS + WADDR_minus_RADDR*TXBYTECLKHS + PHI + DELTA - gtp_extension_datalanes_factor - HSTX_TEN_DELAY</f>
        <v>91.069651741293541</v>
      </c>
      <c r="H19" s="101" t="str">
        <f>IF(G19&lt;B19, "fail", "ok")</f>
        <v>ok</v>
      </c>
      <c r="I19" s="101"/>
      <c r="J19" s="103"/>
    </row>
    <row r="20" spans="1:10" ht="14.25" x14ac:dyDescent="0.2">
      <c r="A20" s="93" t="s">
        <v>40</v>
      </c>
      <c r="B20" s="25">
        <f xml:space="preserve"> 60+4*B6</f>
        <v>61.990049751243781</v>
      </c>
      <c r="C20" s="19">
        <f>C28-$B$10</f>
        <v>75.97014925373135</v>
      </c>
      <c r="D20" s="100">
        <f>ROUNDUP((C20-B20)*(B68/100)+B20, 0)</f>
        <v>62</v>
      </c>
      <c r="E20" s="20">
        <f>ROUNDUP((T_HS_TRAIL - gtp_extension_datalanes_factor + DELTA)/TXBYTECLKHS - 1, 0)</f>
        <v>17</v>
      </c>
      <c r="F20" s="20"/>
      <c r="G20" s="100">
        <f>(hstxhstrail_datalanes+1)*TXBYTECLKHS + gtp_extension_datalanes_factor - DELTA</f>
        <v>65.920398009950262</v>
      </c>
      <c r="H20" s="101" t="str">
        <f>IF(OR(G20&lt;B20, G20&gt;C20), "fail", "ok")</f>
        <v>ok</v>
      </c>
      <c r="I20" s="101"/>
      <c r="J20" s="103"/>
    </row>
    <row r="21" spans="1:10" ht="14.25" x14ac:dyDescent="0.2">
      <c r="A21" s="93" t="s">
        <v>316</v>
      </c>
      <c r="B21" s="25">
        <v>50</v>
      </c>
      <c r="C21" s="19"/>
      <c r="D21" s="100">
        <f>T_HS_RQST</f>
        <v>50</v>
      </c>
      <c r="E21" s="20">
        <f>IF(B5="N",MAX(ROUNDUP((T_HS_RQST+LPTX_IO_RISE_FALL_DELTA)/TXBYTECLKHS-2,0),0),T_HS_RQST!S1)</f>
        <v>15</v>
      </c>
      <c r="F21" s="20"/>
      <c r="G21" s="100">
        <f>((hstxthsrqst_datalanes+2)
*TXBYTECLKHS)-LPTX_IO_RISE_FALL_DELTA</f>
        <v>52.661691542288565</v>
      </c>
      <c r="H21" s="101" t="str">
        <f>IF(G21&lt;B21, "fail", "ok")</f>
        <v>ok</v>
      </c>
      <c r="I21" s="101"/>
      <c r="J21" s="103"/>
    </row>
    <row r="22" spans="1:10" ht="14.25" x14ac:dyDescent="0.2">
      <c r="A22" s="104" t="s">
        <v>317</v>
      </c>
      <c r="B22" s="25">
        <v>100</v>
      </c>
      <c r="C22" s="19"/>
      <c r="D22" s="100">
        <f>ROUNDUP(B22*(B67/100)+B22, 0)</f>
        <v>100</v>
      </c>
      <c r="E22" s="20">
        <f>MAX(ROUNDUP((T_HS_EXIT-LPTX_IO_FALL_DELAY+gtp_extension_datalanes_factor+WADDR_minus_RADDR*TXBYTECLKHS+HSTX_POFF_TIME )/TXBYTECLKHS - 4, 0), 0)</f>
        <v>29</v>
      </c>
      <c r="G22" s="100">
        <f>(hstxthsexit_datalanes+4)*TXBYTECLKHS + LPTX_IO_FALL_DELAY - gtp_extension_datalanes_factor - WADDR_minus_RADDR*TXBYTECLKHS - HSTX_POFF_TIME</f>
        <v>101.44278606965173</v>
      </c>
      <c r="H22" s="101" t="str">
        <f>IF(G22&lt;B22, "fail", "ok")</f>
        <v>ok</v>
      </c>
      <c r="I22" s="101"/>
      <c r="J22" s="103"/>
    </row>
    <row r="23" spans="1:10" ht="14.25" x14ac:dyDescent="0.2">
      <c r="A23" s="104" t="s">
        <v>318</v>
      </c>
      <c r="B23" s="25">
        <v>100</v>
      </c>
      <c r="C23" s="19"/>
      <c r="D23" s="100">
        <f>ROUNDUP(B23*(B68/100)+B23, 0)</f>
        <v>100</v>
      </c>
      <c r="E23" s="20">
        <f>MAX(ROUNDUP((T_HS_EXIT-LPTX_IO_FALL_DELAY+gtp_extension_clklane_factor+HSTX_POFF_TIME )/TXBYTECLKHS - 4, 0), 0)</f>
        <v>24</v>
      </c>
      <c r="G23" s="100">
        <f>(hstxthsexit_clklane+4)*TXBYTECLKHS + LPTX_IO_FALL_DELAY - gtp_extension_clklane_factor  - HSTX_POFF_TIME</f>
        <v>101.44278606965173</v>
      </c>
      <c r="H23" s="101" t="str">
        <f>IF(G23&lt;B23, "fail", "ok")</f>
        <v>ok</v>
      </c>
      <c r="I23" s="101"/>
      <c r="J23" s="103"/>
    </row>
    <row r="24" spans="1:10" ht="14.25" x14ac:dyDescent="0.2">
      <c r="A24" s="93" t="s">
        <v>43</v>
      </c>
      <c r="B24" s="25">
        <f>4*B7</f>
        <v>208</v>
      </c>
      <c r="C24" s="19">
        <f>4*B7</f>
        <v>208</v>
      </c>
      <c r="D24" s="100">
        <f>B24</f>
        <v>208</v>
      </c>
      <c r="E24" s="20">
        <v>3</v>
      </c>
      <c r="F24" s="113" t="s">
        <v>319</v>
      </c>
      <c r="G24" s="100">
        <f>(ttago+1)
*TLPX_SNPS</f>
        <v>208</v>
      </c>
      <c r="H24" s="101" t="str">
        <f>IF(G24&lt;B24, "fail", "ok")</f>
        <v>ok</v>
      </c>
      <c r="I24" s="101"/>
      <c r="J24" s="103"/>
    </row>
    <row r="25" spans="1:10" ht="14.25" x14ac:dyDescent="0.2">
      <c r="A25" s="93" t="s">
        <v>320</v>
      </c>
      <c r="B25" s="25">
        <f>TLPX_SLAVE</f>
        <v>52</v>
      </c>
      <c r="C25" s="19">
        <f>2*TLPX_SLAVE</f>
        <v>104</v>
      </c>
      <c r="D25" s="100">
        <f>B25</f>
        <v>52</v>
      </c>
      <c r="E25" s="20">
        <v>1</v>
      </c>
      <c r="F25" s="113" t="s">
        <v>321</v>
      </c>
      <c r="G25" s="100">
        <f xml:space="preserve"> LPRX_IO_DELAY_RISE - TLPX_EXT + 2*TLPX_SNPS + LPTX_IO_FALL_DELAY + ttasure*TLPX_SNPS</f>
        <v>147</v>
      </c>
      <c r="H25" s="101" t="str">
        <f>IF(OR(G25&lt;B25, G25&gt;C25), "fail", "ok")</f>
        <v>fail</v>
      </c>
      <c r="I25" s="101" t="str">
        <f>IF(TLPX_EXT*4&lt;G25, "fail", "ok")</f>
        <v>ok</v>
      </c>
      <c r="J25" s="103"/>
    </row>
    <row r="26" spans="1:10" ht="14.25" x14ac:dyDescent="0.2">
      <c r="A26" s="93" t="s">
        <v>322</v>
      </c>
      <c r="B26" s="25">
        <f>TLPX_SLAVE</f>
        <v>52</v>
      </c>
      <c r="C26" s="19">
        <f>2*TLPX_SLAVE</f>
        <v>104</v>
      </c>
      <c r="D26" s="100">
        <f>B26</f>
        <v>52</v>
      </c>
      <c r="E26" s="20">
        <v>1</v>
      </c>
      <c r="F26" s="113" t="s">
        <v>321</v>
      </c>
      <c r="G26" s="100">
        <f xml:space="preserve"> LPRX_IO_DELAY_RISE - TLPX_EXT  +  TLPX_SNPS+ LPTX_IO_FALL_DELAY + ttasure*TLPX_SNPS</f>
        <v>95</v>
      </c>
      <c r="H26" s="101" t="str">
        <f>IF(OR(G26&lt;B26, G26&gt;C26), "fail", "ok")</f>
        <v>ok</v>
      </c>
      <c r="I26" s="101" t="str">
        <f>IF(TLPX_EXT*4&lt;G26, "fail", "ok")</f>
        <v>ok</v>
      </c>
      <c r="J26" s="103"/>
    </row>
    <row r="27" spans="1:10" ht="14.25" x14ac:dyDescent="0.2">
      <c r="A27" s="93" t="s">
        <v>44</v>
      </c>
      <c r="B27" s="25">
        <f>5*B7</f>
        <v>260</v>
      </c>
      <c r="C27" s="19">
        <f>5*B7</f>
        <v>260</v>
      </c>
      <c r="D27" s="100">
        <f>B27</f>
        <v>260</v>
      </c>
      <c r="E27" s="113" t="s">
        <v>323</v>
      </c>
      <c r="F27" s="113" t="s">
        <v>323</v>
      </c>
      <c r="G27" s="100">
        <f>5
*TLPX_SNPS</f>
        <v>260</v>
      </c>
      <c r="H27" s="101" t="str">
        <f>IF(OR(G27&lt;B27, G27&gt;C27), "fail", "ok")</f>
        <v>ok</v>
      </c>
      <c r="I27" s="101"/>
      <c r="J27" s="103"/>
    </row>
    <row r="28" spans="1:10" ht="14.25" x14ac:dyDescent="0.2">
      <c r="A28" s="93" t="s">
        <v>90</v>
      </c>
      <c r="B28" s="25"/>
      <c r="C28" s="19">
        <f>105+12*$B$6</f>
        <v>110.97014925373135</v>
      </c>
      <c r="D28" s="100"/>
      <c r="E28" s="21"/>
      <c r="F28" s="21"/>
      <c r="G28" s="100">
        <f>G20+HSTX_POFF_TIME</f>
        <v>100.92039800995026</v>
      </c>
      <c r="H28" s="101" t="str">
        <f>IF(G28&gt;C28, "fail", "ok")</f>
        <v>ok</v>
      </c>
      <c r="I28" s="101"/>
      <c r="J28" s="103"/>
    </row>
    <row r="29" spans="1:10" ht="14.25" x14ac:dyDescent="0.2">
      <c r="A29" s="93" t="s">
        <v>91</v>
      </c>
      <c r="B29" s="25"/>
      <c r="C29" s="19">
        <f>105+12*$B$6</f>
        <v>110.97014925373135</v>
      </c>
      <c r="D29" s="100"/>
      <c r="E29" s="21"/>
      <c r="F29" s="21"/>
      <c r="G29" s="100">
        <f>G16 + HSTX_POFF_TIME</f>
        <v>96.9402985074627</v>
      </c>
      <c r="H29" s="101" t="str">
        <f>IF(G29&gt;C29, "fail", "ok")</f>
        <v>ok</v>
      </c>
      <c r="I29" s="101"/>
      <c r="J29" s="103"/>
    </row>
    <row r="30" spans="1:10" ht="14.25" x14ac:dyDescent="0.2">
      <c r="A30" s="93" t="s">
        <v>47</v>
      </c>
      <c r="B30" s="25">
        <f>60+52*B6</f>
        <v>85.870646766169159</v>
      </c>
      <c r="C30" s="19"/>
      <c r="D30" s="100">
        <f>ROUNDUP(B30*(B67/100)+B30, 0)</f>
        <v>86</v>
      </c>
      <c r="E30" s="20">
        <f>ROUNDUP(
(T_CLK_POST
-1.5*TXBYTECLKHS
-DELTA
+gtp_extension_datalanes_factor
+WADDR_minus_RADDR*TXBYTECLKHS
+HSTX_POFF_TIME)
 / TXBYTECLKHS-5,
 0) -MAX(
ROUNDUP(
(T_HS_ZERO
-WADDR_minus_RADDR*TXBYTECLKHS
-PHI
-DELTA
+gtp_extension_datalanes_factor
+HSTX_TEN_DELAY)
/TXBYTECLKHS-2,0), 0)</f>
        <v>13</v>
      </c>
      <c r="F30" s="20"/>
      <c r="G30" s="100">
        <f>(hstxthsclkpost_clklane
+MAX(
ROUNDUP(
(T_HS_ZERO
-WADDR_minus_RADDR*TXBYTECLKHS
-PHI
-DELTA
+gtp_extension_datalanes_factor
+HSTX_TEN_DELAY)
/TXBYTECLKHS-2,0), 0)
+5) * TXBYTECLKHS
+ 1.5*TXBYTECLKHS
+ DELTA
- gtp_extension_datalanes_factor
- WADDR_minus_RADDR*TXBYTECLKHS
- HSTX_POFF_TIME</f>
        <v>88.134328358208947</v>
      </c>
      <c r="H30" s="101" t="str">
        <f>IF(G30&lt;B30, "fail", "ok")</f>
        <v>ok</v>
      </c>
      <c r="I30" s="101"/>
      <c r="J30" s="103"/>
    </row>
    <row r="31" spans="1:10" ht="14.25" x14ac:dyDescent="0.2">
      <c r="A31" s="93" t="s">
        <v>48</v>
      </c>
      <c r="B31" s="25">
        <f>8*B6</f>
        <v>3.9800995024875623</v>
      </c>
      <c r="C31" s="19"/>
      <c r="D31" s="100">
        <f>ROUNDUP(B31*(B67/100)+B31, 0)</f>
        <v>4</v>
      </c>
      <c r="E31" s="113" t="s">
        <v>323</v>
      </c>
      <c r="F31" s="113" t="s">
        <v>323</v>
      </c>
      <c r="G31" s="100">
        <f>6.5*TXBYTECLKHS+LPTX_IO_FALL_DELAY</f>
        <v>50.870646766169159</v>
      </c>
      <c r="H31" s="101" t="str">
        <f>IF(G31&lt;B31, "fail", "ok")</f>
        <v>ok</v>
      </c>
      <c r="I31" s="101"/>
      <c r="J31" s="103"/>
    </row>
    <row r="32" spans="1:10" ht="14.25" x14ac:dyDescent="0.2">
      <c r="A32" s="93" t="s">
        <v>324</v>
      </c>
      <c r="B32" s="25">
        <v>50</v>
      </c>
      <c r="C32" s="19"/>
      <c r="D32" s="100">
        <f>B32</f>
        <v>50</v>
      </c>
      <c r="E32" s="20">
        <f>MAX(ROUNDUP((T_HS_RQST+LPTX_IO_RISE_FALL_DELTA)/TXBYTECLKHS - 2, 0), 0)</f>
        <v>15</v>
      </c>
      <c r="F32" s="20"/>
      <c r="G32" s="100">
        <f>((hstxthsrqst_clklane+2)
*TXBYTECLKHS)-LPTX_IO_RISE_FALL_DELTA</f>
        <v>52.661691542288565</v>
      </c>
      <c r="H32" s="101" t="str">
        <f>IF(G32&lt;B32, "fail", "ok")</f>
        <v>ok</v>
      </c>
      <c r="I32" s="101"/>
      <c r="J32" s="103"/>
    </row>
    <row r="33" spans="1:10" ht="14.25" x14ac:dyDescent="0.2">
      <c r="A33" s="136"/>
      <c r="B33" s="137"/>
      <c r="C33" s="137"/>
      <c r="D33" s="137"/>
      <c r="E33" s="137"/>
      <c r="F33" s="137"/>
      <c r="G33" s="137"/>
      <c r="H33" s="137"/>
      <c r="I33" s="137"/>
      <c r="J33" s="103"/>
    </row>
    <row r="34" spans="1:10" ht="14.25" x14ac:dyDescent="0.2">
      <c r="A34" s="138"/>
      <c r="B34" s="139"/>
      <c r="C34" s="139"/>
      <c r="D34" s="139"/>
      <c r="E34" s="139"/>
      <c r="F34" s="139"/>
      <c r="G34" s="139"/>
      <c r="H34" s="139"/>
      <c r="I34" s="139"/>
      <c r="J34" s="103"/>
    </row>
    <row r="35" spans="1:10" ht="14.25" x14ac:dyDescent="0.2">
      <c r="A35" s="136"/>
      <c r="B35" s="137"/>
      <c r="C35" s="137"/>
      <c r="D35" s="137"/>
      <c r="E35" s="137"/>
      <c r="F35" s="137"/>
      <c r="G35" s="137"/>
      <c r="H35" s="137"/>
      <c r="I35" s="137"/>
      <c r="J35" s="103"/>
    </row>
    <row r="36" spans="1:10" ht="14.25" x14ac:dyDescent="0.2">
      <c r="A36" s="102"/>
      <c r="B36" s="102"/>
      <c r="C36" s="102"/>
      <c r="D36" s="102"/>
      <c r="E36" s="102"/>
      <c r="F36" s="102"/>
      <c r="G36" s="102"/>
      <c r="H36" s="102"/>
      <c r="I36" s="102"/>
      <c r="J36" s="103"/>
    </row>
    <row r="37" spans="1:10" ht="14.25" x14ac:dyDescent="0.2">
      <c r="A37" s="27" t="s">
        <v>325</v>
      </c>
      <c r="B37" s="3">
        <f>SUM(G13:G23)+SUM(G30:G32)</f>
        <v>1028.8557213930349</v>
      </c>
      <c r="C37" s="3"/>
      <c r="D37" s="102"/>
      <c r="E37" s="102"/>
      <c r="F37" s="102"/>
      <c r="G37" s="102"/>
      <c r="H37" s="102"/>
      <c r="I37" s="102"/>
      <c r="J37" s="103"/>
    </row>
    <row r="38" spans="1:10" ht="14.25" x14ac:dyDescent="0.2">
      <c r="A38" s="27" t="s">
        <v>326</v>
      </c>
      <c r="B38" s="3">
        <f>B37/tx_byteclk_hs</f>
        <v>258.5</v>
      </c>
      <c r="C38" s="3"/>
      <c r="D38" s="102"/>
      <c r="E38" s="102"/>
      <c r="F38" s="102"/>
      <c r="G38" s="102"/>
      <c r="H38" s="102"/>
      <c r="I38" s="102"/>
      <c r="J38" s="103"/>
    </row>
    <row r="39" spans="1:10" ht="14.25" x14ac:dyDescent="0.2">
      <c r="A39" s="102"/>
      <c r="B39" s="102"/>
      <c r="C39" s="102"/>
      <c r="D39" s="102"/>
      <c r="E39" s="102"/>
      <c r="F39" s="102"/>
      <c r="G39" s="102"/>
      <c r="H39" s="102"/>
      <c r="I39" s="102"/>
      <c r="J39" s="103"/>
    </row>
    <row r="40" spans="1:10" ht="18" x14ac:dyDescent="0.25">
      <c r="A40" s="64" t="s">
        <v>546</v>
      </c>
      <c r="B40" s="102"/>
      <c r="C40" s="102"/>
      <c r="D40" s="102"/>
      <c r="E40" s="102"/>
      <c r="F40" s="102"/>
      <c r="G40" s="102"/>
      <c r="H40" s="102"/>
      <c r="I40" s="102"/>
      <c r="J40" s="103"/>
    </row>
    <row r="41" spans="1:10" ht="14.25" x14ac:dyDescent="0.2">
      <c r="A41" s="27" t="s">
        <v>547</v>
      </c>
      <c r="B41" s="28" t="s">
        <v>128</v>
      </c>
      <c r="C41" s="3"/>
      <c r="D41" s="102"/>
      <c r="E41" s="102"/>
      <c r="F41" s="102"/>
      <c r="G41" s="102"/>
      <c r="H41" s="102"/>
      <c r="I41" s="102"/>
      <c r="J41" s="103"/>
    </row>
    <row r="42" spans="1:10" ht="14.25" x14ac:dyDescent="0.2">
      <c r="A42" s="27" t="s">
        <v>327</v>
      </c>
      <c r="B42" s="105" t="str">
        <f>DEC2HEX(hstxthszero_clklane)</f>
        <v>38</v>
      </c>
      <c r="C42" s="111"/>
      <c r="D42" s="102"/>
      <c r="E42" s="102"/>
      <c r="F42" s="102"/>
      <c r="G42" s="102"/>
      <c r="H42" s="102"/>
      <c r="I42" s="102"/>
      <c r="J42" s="103"/>
    </row>
    <row r="43" spans="1:10" ht="14.25" x14ac:dyDescent="0.2">
      <c r="A43" s="27" t="s">
        <v>328</v>
      </c>
      <c r="B43" s="105" t="str">
        <f>DEC2HEX(hstxthszero_datalanes)</f>
        <v>F</v>
      </c>
      <c r="C43" s="111"/>
      <c r="D43" s="102"/>
      <c r="E43" s="102"/>
      <c r="F43" s="102"/>
      <c r="G43" s="102"/>
      <c r="H43" s="102"/>
      <c r="I43" s="102"/>
      <c r="J43" s="103"/>
    </row>
    <row r="44" spans="1:10" ht="14.25" x14ac:dyDescent="0.2">
      <c r="A44" s="27" t="s">
        <v>329</v>
      </c>
      <c r="B44" s="105" t="str">
        <f>DEC2HEX(hstxthstrail_clklane)</f>
        <v>12</v>
      </c>
      <c r="C44" s="111"/>
      <c r="D44" s="102"/>
      <c r="E44" s="102"/>
      <c r="F44" s="102"/>
      <c r="G44" s="102"/>
      <c r="H44" s="102" t="s">
        <v>88</v>
      </c>
      <c r="I44" s="102" t="s">
        <v>88</v>
      </c>
      <c r="J44" s="103"/>
    </row>
    <row r="45" spans="1:10" ht="14.25" x14ac:dyDescent="0.2">
      <c r="A45" s="27" t="s">
        <v>330</v>
      </c>
      <c r="B45" s="105" t="str">
        <f>DEC2HEX(hstxhstrail_datalanes)</f>
        <v>11</v>
      </c>
      <c r="C45" s="111"/>
      <c r="D45" s="102"/>
      <c r="E45" s="102"/>
      <c r="F45" s="102"/>
      <c r="G45" s="102"/>
      <c r="H45" s="102"/>
      <c r="I45" s="102"/>
      <c r="J45" s="103"/>
    </row>
    <row r="46" spans="1:10" ht="14.25" x14ac:dyDescent="0.2">
      <c r="A46" s="27" t="s">
        <v>331</v>
      </c>
      <c r="B46" s="105" t="str">
        <f>DEC2HEX(hstxthsclkpost_clklane)</f>
        <v>D</v>
      </c>
      <c r="C46" s="111"/>
      <c r="D46" s="102"/>
      <c r="E46" s="102"/>
      <c r="F46" s="102"/>
      <c r="G46" s="102"/>
      <c r="H46" s="102"/>
      <c r="I46" s="102"/>
      <c r="J46" s="103"/>
    </row>
    <row r="47" spans="1:10" ht="14.25" x14ac:dyDescent="0.2">
      <c r="A47" s="27" t="s">
        <v>332</v>
      </c>
      <c r="B47" s="105" t="str">
        <f>DEC2HEX(hstxthsrqst_clklane)</f>
        <v>F</v>
      </c>
      <c r="C47" s="111"/>
      <c r="D47" s="102"/>
      <c r="E47" s="102"/>
      <c r="F47" s="102"/>
      <c r="G47" s="102"/>
      <c r="H47" s="102"/>
      <c r="I47" s="102"/>
      <c r="J47" s="103"/>
    </row>
    <row r="48" spans="1:10" ht="14.25" x14ac:dyDescent="0.2">
      <c r="A48" s="27" t="s">
        <v>333</v>
      </c>
      <c r="B48" s="105" t="str">
        <f>DEC2HEX(hstxthsrqst_datalanes)</f>
        <v>F</v>
      </c>
      <c r="C48" s="111"/>
      <c r="D48" s="102"/>
      <c r="E48" s="102"/>
      <c r="F48" s="102"/>
      <c r="G48" s="102"/>
      <c r="H48" s="102"/>
      <c r="I48" s="102"/>
      <c r="J48" s="103"/>
    </row>
    <row r="49" spans="1:10" ht="14.25" x14ac:dyDescent="0.2">
      <c r="A49" s="27" t="s">
        <v>334</v>
      </c>
      <c r="B49" s="105" t="str">
        <f>DEC2HEX(hstxthsexit_clklane)</f>
        <v>18</v>
      </c>
      <c r="C49" s="111"/>
      <c r="D49" s="102"/>
      <c r="E49" s="102"/>
      <c r="F49" s="102"/>
      <c r="G49" s="102"/>
      <c r="H49" s="102"/>
      <c r="I49" s="102"/>
      <c r="J49" s="103"/>
    </row>
    <row r="50" spans="1:10" ht="14.25" x14ac:dyDescent="0.2">
      <c r="A50" s="27" t="s">
        <v>335</v>
      </c>
      <c r="B50" s="105" t="str">
        <f>DEC2HEX(hstxthsexit_datalanes)</f>
        <v>1D</v>
      </c>
      <c r="C50" s="111"/>
      <c r="D50" s="102"/>
      <c r="E50" s="102"/>
      <c r="F50" s="102"/>
      <c r="G50" s="102"/>
      <c r="H50" s="102"/>
      <c r="I50" s="102"/>
      <c r="J50" s="103"/>
    </row>
    <row r="51" spans="1:10" ht="14.25" x14ac:dyDescent="0.2">
      <c r="A51" s="27" t="s">
        <v>336</v>
      </c>
      <c r="B51" s="105" t="str">
        <f>DEC2HEX(ttago)</f>
        <v>3</v>
      </c>
      <c r="C51" s="111"/>
      <c r="D51" s="102"/>
      <c r="E51" s="102"/>
      <c r="F51" s="102"/>
      <c r="G51" s="102"/>
      <c r="H51" s="102"/>
      <c r="I51" s="102"/>
      <c r="J51" s="103"/>
    </row>
    <row r="52" spans="1:10" ht="14.25" x14ac:dyDescent="0.2">
      <c r="A52" s="27" t="s">
        <v>337</v>
      </c>
      <c r="B52" s="105" t="str">
        <f>DEC2HEX(ttasure)</f>
        <v>1</v>
      </c>
      <c r="C52" s="111"/>
      <c r="D52" s="102"/>
      <c r="E52" s="102"/>
      <c r="F52" s="102"/>
      <c r="G52" s="102"/>
      <c r="H52" s="102"/>
      <c r="I52" s="102"/>
      <c r="J52" s="103"/>
    </row>
    <row r="53" spans="1:10" ht="14.25" x14ac:dyDescent="0.2">
      <c r="A53" s="77" t="s">
        <v>338</v>
      </c>
      <c r="B53" s="105">
        <v>1</v>
      </c>
      <c r="C53" s="111"/>
      <c r="D53" s="102"/>
      <c r="E53" s="102"/>
      <c r="F53" s="102"/>
      <c r="G53" s="102"/>
      <c r="H53" s="102"/>
      <c r="I53" s="102"/>
      <c r="J53" s="103"/>
    </row>
    <row r="54" spans="1:10" ht="14.25" x14ac:dyDescent="0.2">
      <c r="A54" s="77" t="s">
        <v>339</v>
      </c>
      <c r="B54" s="105">
        <v>1</v>
      </c>
      <c r="C54" s="111"/>
      <c r="D54" s="102"/>
      <c r="E54" s="102"/>
      <c r="F54" s="102"/>
      <c r="G54" s="102"/>
      <c r="H54" s="102"/>
      <c r="I54" s="102"/>
      <c r="J54" s="103"/>
    </row>
    <row r="55" spans="1:10" ht="14.25" x14ac:dyDescent="0.2">
      <c r="A55" s="27" t="s">
        <v>340</v>
      </c>
      <c r="B55" s="105">
        <v>1</v>
      </c>
      <c r="C55" s="102"/>
      <c r="D55" s="102"/>
      <c r="E55" s="102"/>
      <c r="F55" s="102"/>
      <c r="G55" s="102"/>
      <c r="H55" s="102"/>
      <c r="I55" s="102"/>
      <c r="J55" s="103"/>
    </row>
    <row r="56" spans="1:10" ht="14.25" x14ac:dyDescent="0.2">
      <c r="A56" s="27" t="s">
        <v>341</v>
      </c>
      <c r="B56" s="105">
        <v>1</v>
      </c>
      <c r="C56" s="102"/>
      <c r="D56" s="102"/>
      <c r="E56" s="102"/>
      <c r="F56" s="102"/>
      <c r="G56" s="102"/>
      <c r="H56" s="102"/>
      <c r="I56" s="102"/>
      <c r="J56" s="103"/>
    </row>
    <row r="57" spans="1:10" ht="14.25" x14ac:dyDescent="0.2">
      <c r="A57" s="27" t="s">
        <v>342</v>
      </c>
      <c r="B57" s="105">
        <v>1</v>
      </c>
      <c r="C57" s="111"/>
      <c r="D57" s="102"/>
      <c r="E57" s="102"/>
      <c r="F57" s="102"/>
      <c r="G57" s="102"/>
      <c r="H57" s="102"/>
      <c r="I57" s="102"/>
      <c r="J57" s="103"/>
    </row>
    <row r="58" spans="1:10" ht="14.25" x14ac:dyDescent="0.2">
      <c r="A58" s="27" t="s">
        <v>343</v>
      </c>
      <c r="B58" s="105">
        <v>1</v>
      </c>
      <c r="C58" s="102"/>
      <c r="D58" s="102"/>
      <c r="E58" s="102"/>
      <c r="F58" s="102"/>
      <c r="G58" s="102"/>
      <c r="H58" s="102"/>
      <c r="I58" s="102"/>
      <c r="J58" s="103"/>
    </row>
    <row r="59" spans="1:10" ht="14.25" x14ac:dyDescent="0.2">
      <c r="A59" s="27" t="s">
        <v>344</v>
      </c>
      <c r="B59" s="105">
        <v>1</v>
      </c>
      <c r="C59" s="102"/>
      <c r="D59" s="102"/>
      <c r="E59" s="102"/>
      <c r="F59" s="102"/>
      <c r="G59" s="102"/>
      <c r="H59" s="102"/>
      <c r="I59" s="102"/>
      <c r="J59" s="103"/>
    </row>
    <row r="60" spans="1:10" ht="14.25" x14ac:dyDescent="0.2">
      <c r="A60" s="27" t="s">
        <v>345</v>
      </c>
      <c r="B60" s="105">
        <v>1</v>
      </c>
      <c r="C60" s="102"/>
      <c r="D60" s="102"/>
      <c r="E60" s="102"/>
      <c r="F60" s="102"/>
      <c r="G60" s="102"/>
      <c r="H60" s="102"/>
      <c r="I60" s="102"/>
      <c r="J60" s="103"/>
    </row>
    <row r="61" spans="1:10" ht="14.25" x14ac:dyDescent="0.2">
      <c r="A61" s="27" t="s">
        <v>346</v>
      </c>
      <c r="B61" s="105">
        <v>1</v>
      </c>
      <c r="C61" s="102"/>
      <c r="D61" s="102"/>
      <c r="E61" s="102"/>
      <c r="F61" s="102"/>
      <c r="G61" s="102"/>
      <c r="H61" s="102"/>
      <c r="I61" s="102"/>
      <c r="J61" s="103"/>
    </row>
    <row r="62" spans="1:10" ht="14.25" x14ac:dyDescent="0.2">
      <c r="A62" s="27" t="s">
        <v>545</v>
      </c>
      <c r="B62" s="105">
        <v>1</v>
      </c>
      <c r="C62" s="102"/>
      <c r="D62" s="102"/>
      <c r="E62" s="102"/>
      <c r="F62" s="102"/>
      <c r="G62" s="102"/>
      <c r="H62" s="102"/>
      <c r="I62" s="102"/>
      <c r="J62" s="103"/>
    </row>
    <row r="63" spans="1:10" ht="14.25" x14ac:dyDescent="0.2">
      <c r="A63" s="27" t="s">
        <v>544</v>
      </c>
      <c r="B63" s="105" t="str">
        <f>DEC2HEX(B9)</f>
        <v>2B</v>
      </c>
      <c r="C63" s="102"/>
      <c r="D63" s="102"/>
      <c r="E63" s="102"/>
      <c r="F63" s="102"/>
      <c r="G63" s="102"/>
      <c r="H63" s="102"/>
      <c r="I63" s="102"/>
      <c r="J63" s="103"/>
    </row>
    <row r="64" spans="1:10" ht="14.25" x14ac:dyDescent="0.2">
      <c r="A64" s="102"/>
      <c r="B64" s="102"/>
      <c r="C64" s="102"/>
      <c r="D64" s="102"/>
      <c r="E64" s="102"/>
      <c r="F64" s="102"/>
      <c r="G64" s="102"/>
      <c r="H64" s="102"/>
      <c r="I64" s="102"/>
      <c r="J64" s="103"/>
    </row>
    <row r="65" spans="1:10" ht="14.25" x14ac:dyDescent="0.2">
      <c r="A65" s="106" t="s">
        <v>98</v>
      </c>
      <c r="B65" s="102">
        <v>0</v>
      </c>
      <c r="C65" s="102"/>
      <c r="D65" s="102"/>
      <c r="E65" s="102"/>
      <c r="F65" s="102"/>
      <c r="G65" s="102"/>
      <c r="H65" s="102"/>
      <c r="I65" s="102"/>
      <c r="J65" s="103"/>
    </row>
    <row r="66" spans="1:10" ht="14.25" x14ac:dyDescent="0.2">
      <c r="A66" s="106" t="s">
        <v>99</v>
      </c>
      <c r="B66" s="102">
        <v>0</v>
      </c>
      <c r="C66" s="102"/>
      <c r="D66" s="102"/>
      <c r="E66" s="102"/>
      <c r="F66" s="102"/>
      <c r="G66" s="102"/>
      <c r="H66" s="102"/>
      <c r="I66" s="102"/>
      <c r="J66" s="103"/>
    </row>
    <row r="67" spans="1:10" ht="14.25" x14ac:dyDescent="0.2">
      <c r="A67" s="106" t="s">
        <v>93</v>
      </c>
      <c r="B67" s="102">
        <v>0</v>
      </c>
      <c r="C67" s="102"/>
      <c r="D67" s="102"/>
      <c r="E67" s="102"/>
      <c r="F67" s="102"/>
      <c r="G67" s="102"/>
      <c r="H67" s="102"/>
      <c r="I67" s="102"/>
      <c r="J67" s="103"/>
    </row>
    <row r="68" spans="1:10" ht="14.25" x14ac:dyDescent="0.2">
      <c r="A68" s="106" t="s">
        <v>94</v>
      </c>
      <c r="B68" s="102">
        <v>0</v>
      </c>
      <c r="C68" s="102"/>
      <c r="D68" s="102"/>
      <c r="E68" s="102"/>
      <c r="F68" s="102"/>
      <c r="G68" s="102"/>
      <c r="H68" s="102"/>
      <c r="I68" s="102"/>
      <c r="J68" s="103"/>
    </row>
    <row r="69" spans="1:10" ht="14.25" x14ac:dyDescent="0.2">
      <c r="A69" s="106" t="s">
        <v>183</v>
      </c>
      <c r="B69" s="102">
        <v>0</v>
      </c>
      <c r="C69" s="102"/>
      <c r="D69" s="102"/>
      <c r="E69" s="102"/>
      <c r="F69" s="102"/>
      <c r="G69" s="102"/>
      <c r="H69" s="102"/>
      <c r="I69" s="102"/>
      <c r="J69" s="103"/>
    </row>
    <row r="70" spans="1:10" ht="14.25" x14ac:dyDescent="0.2">
      <c r="A70" s="106" t="s">
        <v>200</v>
      </c>
      <c r="B70" s="102">
        <v>0</v>
      </c>
      <c r="C70" s="102"/>
      <c r="D70" s="102"/>
      <c r="E70" s="102"/>
      <c r="F70" s="102"/>
      <c r="G70" s="102"/>
      <c r="H70" s="102"/>
      <c r="I70" s="102"/>
      <c r="J70" s="103"/>
    </row>
    <row r="71" spans="1:10" ht="14.25" x14ac:dyDescent="0.2">
      <c r="A71" s="102"/>
      <c r="B71" s="102"/>
      <c r="C71" s="102"/>
      <c r="D71" s="102"/>
      <c r="E71" s="106"/>
      <c r="F71" s="106"/>
      <c r="G71" s="102"/>
      <c r="H71" s="102"/>
      <c r="I71" s="102"/>
      <c r="J71" s="103"/>
    </row>
    <row r="72" spans="1:10" ht="14.25" x14ac:dyDescent="0.2">
      <c r="A72" s="102"/>
      <c r="B72" s="102"/>
      <c r="C72" s="102"/>
      <c r="D72" s="102"/>
      <c r="E72" s="102"/>
      <c r="F72" s="102"/>
      <c r="G72" s="102"/>
      <c r="H72" s="102"/>
      <c r="I72" s="102"/>
      <c r="J72" s="103"/>
    </row>
    <row r="73" spans="1:10" ht="14.25" x14ac:dyDescent="0.2">
      <c r="A73" s="102" t="s">
        <v>347</v>
      </c>
      <c r="B73" s="102">
        <f>8*B6</f>
        <v>3.9800995024875623</v>
      </c>
      <c r="C73" s="102"/>
      <c r="D73" s="102"/>
      <c r="E73" s="102"/>
      <c r="F73" s="102"/>
      <c r="G73" s="102"/>
      <c r="H73" s="102"/>
      <c r="I73" s="102"/>
      <c r="J73" s="103"/>
    </row>
    <row r="74" spans="1:10" ht="15.75" x14ac:dyDescent="0.3">
      <c r="A74" s="102" t="s">
        <v>348</v>
      </c>
      <c r="B74" s="102">
        <f>0.7*TXBYTECLKHS</f>
        <v>2.7860696517412933</v>
      </c>
      <c r="C74" s="102"/>
      <c r="D74" s="102"/>
      <c r="E74" s="102"/>
      <c r="F74" s="102"/>
      <c r="G74" s="102"/>
      <c r="H74" s="102"/>
      <c r="I74" s="102"/>
      <c r="J74" s="103"/>
    </row>
    <row r="75" spans="1:10" ht="14.25" x14ac:dyDescent="0.2">
      <c r="A75" s="102" t="s">
        <v>349</v>
      </c>
      <c r="B75" s="102">
        <f>11.5*UI</f>
        <v>5.721393034825871</v>
      </c>
      <c r="C75" s="102"/>
      <c r="D75" s="102"/>
      <c r="E75" s="102"/>
      <c r="F75" s="102"/>
      <c r="G75" s="102"/>
      <c r="H75" s="102"/>
      <c r="I75" s="102"/>
      <c r="J75" s="103"/>
    </row>
    <row r="76" spans="1:10" ht="14.25" x14ac:dyDescent="0.2">
      <c r="A76" s="102" t="s">
        <v>350</v>
      </c>
      <c r="B76" s="102">
        <v>5</v>
      </c>
      <c r="C76" s="102"/>
      <c r="D76" s="102"/>
      <c r="E76" s="102"/>
      <c r="F76" s="102"/>
      <c r="G76" s="102"/>
      <c r="H76" s="102"/>
      <c r="I76" s="102"/>
      <c r="J76" s="103"/>
    </row>
    <row r="77" spans="1:10" ht="14.25" x14ac:dyDescent="0.2">
      <c r="A77" s="102" t="s">
        <v>351</v>
      </c>
      <c r="B77" s="102">
        <v>5</v>
      </c>
      <c r="C77" s="102"/>
      <c r="D77" s="102"/>
      <c r="E77" s="102"/>
      <c r="F77" s="102"/>
      <c r="G77" s="102"/>
      <c r="H77" s="102"/>
      <c r="I77" s="102"/>
      <c r="J77" s="103"/>
    </row>
    <row r="78" spans="1:10" ht="14.25" x14ac:dyDescent="0.2">
      <c r="A78" s="102" t="s">
        <v>352</v>
      </c>
      <c r="B78" s="102">
        <v>35</v>
      </c>
      <c r="C78" s="102"/>
      <c r="D78" s="102"/>
      <c r="E78" s="102"/>
      <c r="F78" s="102"/>
      <c r="G78" s="102"/>
      <c r="H78" s="102"/>
      <c r="I78" s="102"/>
      <c r="J78" s="103"/>
    </row>
    <row r="79" spans="1:10" ht="14.25" x14ac:dyDescent="0.2">
      <c r="A79" s="102" t="s">
        <v>353</v>
      </c>
      <c r="B79" s="102">
        <v>25</v>
      </c>
      <c r="C79" s="102"/>
      <c r="D79" s="102"/>
      <c r="E79" s="102"/>
      <c r="F79" s="102"/>
      <c r="G79" s="102"/>
      <c r="H79" s="102"/>
      <c r="I79" s="102"/>
      <c r="J79" s="103"/>
    </row>
    <row r="80" spans="1:10" ht="27.75" x14ac:dyDescent="0.2">
      <c r="A80" s="107" t="s">
        <v>354</v>
      </c>
      <c r="B80" s="102">
        <f>IF(gtp_extension_clklane&gt;= 8, (TXBYTECLKHS/4+(gtp_extension_clklane-8)*TXBYTECLKHS/8), 0)</f>
        <v>0</v>
      </c>
      <c r="C80" s="102"/>
      <c r="D80" s="102"/>
      <c r="E80" s="102"/>
      <c r="F80" s="102"/>
      <c r="G80" s="102"/>
      <c r="H80" s="102"/>
      <c r="I80" s="102"/>
      <c r="J80" s="103"/>
    </row>
    <row r="81" spans="1:10" ht="27.75" x14ac:dyDescent="0.2">
      <c r="A81" s="107" t="s">
        <v>355</v>
      </c>
      <c r="B81" s="102">
        <f>IF(gtp_extension_datalane&gt;= 8, (TXBYTECLKHS/4+(gtp_extension_datalane-8)*TXBYTECLKHS/8), 0)</f>
        <v>0</v>
      </c>
      <c r="C81" s="102"/>
      <c r="D81" s="102"/>
      <c r="E81" s="102"/>
      <c r="F81" s="102"/>
      <c r="G81" s="102"/>
      <c r="H81" s="102"/>
      <c r="I81" s="102"/>
      <c r="J81" s="103"/>
    </row>
    <row r="82" spans="1:10" ht="14.25" x14ac:dyDescent="0.2">
      <c r="A82" s="102" t="s">
        <v>356</v>
      </c>
      <c r="B82" s="102">
        <v>16</v>
      </c>
      <c r="C82" s="102"/>
      <c r="D82" s="102"/>
      <c r="E82" s="102"/>
      <c r="F82" s="102"/>
      <c r="G82" s="102"/>
      <c r="H82" s="102"/>
      <c r="I82" s="102"/>
      <c r="J82" s="103"/>
    </row>
    <row r="83" spans="1:10" ht="27.75" x14ac:dyDescent="0.2">
      <c r="A83" s="107" t="s">
        <v>357</v>
      </c>
      <c r="B83" s="102">
        <v>15</v>
      </c>
      <c r="C83" s="102"/>
      <c r="D83" s="102"/>
      <c r="E83" s="102"/>
      <c r="F83" s="102"/>
      <c r="G83" s="102"/>
      <c r="H83" s="102"/>
      <c r="I83" s="102"/>
      <c r="J83" s="103"/>
    </row>
  </sheetData>
  <mergeCells count="8">
    <mergeCell ref="J11:J12"/>
    <mergeCell ref="A33:I33"/>
    <mergeCell ref="A34:I34"/>
    <mergeCell ref="A35:I35"/>
    <mergeCell ref="B11:C11"/>
    <mergeCell ref="G11:G12"/>
    <mergeCell ref="H11:H12"/>
    <mergeCell ref="I11:I12"/>
  </mergeCells>
  <phoneticPr fontId="51" type="noConversion"/>
  <dataValidations disablePrompts="1" count="1">
    <dataValidation type="list" allowBlank="1" showInputMessage="1" showErrorMessage="1" sqref="B5" xr:uid="{00000000-0002-0000-0800-000000000000}">
      <formula1>Y_N</formula1>
    </dataValidation>
  </dataValidations>
  <pageMargins left="0.25" right="0.25" top="0.75" bottom="0.65" header="0.3" footer="0.3"/>
  <pageSetup scale="77" orientation="portrait" r:id="rId1"/>
  <headerFooter scaleWithDoc="0">
    <oddFooter xml:space="preserve">&amp;L&amp;"Arial"&amp;8 80-NH713-1 YG
&amp;C&amp;"Arial"&amp;8Confidential – Qualcomm Technologies, Inc. and/or its affiliated companies – May Contain Trade Secrets
&amp;"Arial,Bold"&amp;8MAY CONTAIN U.S. AND INTERNATIONAL EXPORT CONTROLLED INFORMATION&amp;R&amp;"Arial"&amp;8 &amp;P
</oddFooter>
  </headerFooter>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pageSetUpPr fitToPage="1"/>
  </sheetPr>
  <dimension ref="A1:S64"/>
  <sheetViews>
    <sheetView workbookViewId="0"/>
  </sheetViews>
  <sheetFormatPr defaultRowHeight="12.75" x14ac:dyDescent="0.2"/>
  <cols>
    <col min="1" max="1" width="17" customWidth="1"/>
    <col min="3" max="3" width="26.7109375" customWidth="1"/>
    <col min="5" max="5" width="31.42578125" customWidth="1"/>
    <col min="7" max="7" width="35.28515625" customWidth="1"/>
  </cols>
  <sheetData>
    <row r="1" spans="1:19" x14ac:dyDescent="0.2">
      <c r="M1" s="4" t="s">
        <v>41</v>
      </c>
      <c r="O1" s="4" t="s">
        <v>358</v>
      </c>
      <c r="P1" s="112">
        <f>'SDM439 DPHY timing'!B3</f>
        <v>2010</v>
      </c>
      <c r="Q1" s="4"/>
      <c r="R1" s="4" t="s">
        <v>485</v>
      </c>
      <c r="S1" s="4">
        <f>LOOKUP("SELECT",N2:N64,M2:M64)</f>
        <v>13</v>
      </c>
    </row>
    <row r="2" spans="1:19" ht="14.25" x14ac:dyDescent="0.2">
      <c r="A2" s="4" t="s">
        <v>359</v>
      </c>
      <c r="B2" s="4" t="s">
        <v>360</v>
      </c>
      <c r="C2" s="4" t="s">
        <v>361</v>
      </c>
      <c r="D2" s="4" t="s">
        <v>362</v>
      </c>
      <c r="E2" s="4" t="s">
        <v>363</v>
      </c>
      <c r="F2" s="4" t="s">
        <v>364</v>
      </c>
      <c r="G2" s="4" t="s">
        <v>365</v>
      </c>
      <c r="H2" s="4" t="s">
        <v>360</v>
      </c>
      <c r="I2" s="4" t="s">
        <v>366</v>
      </c>
      <c r="J2" s="4" t="s">
        <v>367</v>
      </c>
      <c r="K2" s="4">
        <v>80</v>
      </c>
      <c r="L2" s="4" t="s">
        <v>97</v>
      </c>
      <c r="M2" s="4">
        <v>12</v>
      </c>
      <c r="N2" s="4" t="b">
        <f>IF($P$1&gt;=K2,IF($P$1&lt;K3,"SELECT"))</f>
        <v>0</v>
      </c>
      <c r="S2" s="115" t="s">
        <v>537</v>
      </c>
    </row>
    <row r="3" spans="1:19" ht="14.25" x14ac:dyDescent="0.2">
      <c r="A3" s="4" t="s">
        <v>368</v>
      </c>
      <c r="B3" s="4" t="s">
        <v>360</v>
      </c>
      <c r="C3" s="4" t="s">
        <v>361</v>
      </c>
      <c r="D3" s="4" t="s">
        <v>362</v>
      </c>
      <c r="E3" s="4" t="s">
        <v>363</v>
      </c>
      <c r="F3" s="4" t="s">
        <v>364</v>
      </c>
      <c r="G3" s="4" t="s">
        <v>365</v>
      </c>
      <c r="H3" s="4" t="s">
        <v>360</v>
      </c>
      <c r="I3" s="4" t="s">
        <v>369</v>
      </c>
      <c r="J3" s="4" t="s">
        <v>367</v>
      </c>
      <c r="K3" s="4">
        <v>90</v>
      </c>
      <c r="L3" s="4" t="s">
        <v>97</v>
      </c>
      <c r="M3" s="4">
        <v>12</v>
      </c>
      <c r="N3" s="4" t="b">
        <f t="shared" ref="N3:N64" si="0">IF($P$1&gt;=K3,IF($P$1&lt;K4,"SELECT"))</f>
        <v>0</v>
      </c>
      <c r="S3" s="115" t="s">
        <v>244</v>
      </c>
    </row>
    <row r="4" spans="1:19" x14ac:dyDescent="0.2">
      <c r="A4" s="4" t="s">
        <v>370</v>
      </c>
      <c r="B4" s="4" t="s">
        <v>360</v>
      </c>
      <c r="C4" s="4" t="s">
        <v>361</v>
      </c>
      <c r="D4" s="4" t="s">
        <v>362</v>
      </c>
      <c r="E4" s="4" t="s">
        <v>363</v>
      </c>
      <c r="F4" s="4" t="s">
        <v>364</v>
      </c>
      <c r="G4" s="4" t="s">
        <v>365</v>
      </c>
      <c r="H4" s="4" t="s">
        <v>360</v>
      </c>
      <c r="I4" s="4" t="s">
        <v>369</v>
      </c>
      <c r="J4" s="4" t="s">
        <v>367</v>
      </c>
      <c r="K4" s="4">
        <v>100</v>
      </c>
      <c r="L4" s="4" t="s">
        <v>97</v>
      </c>
      <c r="M4" s="4">
        <v>12</v>
      </c>
      <c r="N4" s="4" t="b">
        <f t="shared" si="0"/>
        <v>0</v>
      </c>
    </row>
    <row r="5" spans="1:19" x14ac:dyDescent="0.2">
      <c r="A5" s="4" t="s">
        <v>371</v>
      </c>
      <c r="B5" s="4" t="s">
        <v>360</v>
      </c>
      <c r="C5" s="4" t="s">
        <v>361</v>
      </c>
      <c r="D5" s="4" t="s">
        <v>362</v>
      </c>
      <c r="E5" s="4" t="s">
        <v>363</v>
      </c>
      <c r="F5" s="4" t="s">
        <v>364</v>
      </c>
      <c r="G5" s="4" t="s">
        <v>365</v>
      </c>
      <c r="H5" s="4" t="s">
        <v>360</v>
      </c>
      <c r="I5" s="4" t="s">
        <v>372</v>
      </c>
      <c r="J5" s="4" t="s">
        <v>367</v>
      </c>
      <c r="K5" s="4">
        <v>110</v>
      </c>
      <c r="L5" s="4" t="s">
        <v>97</v>
      </c>
      <c r="M5" s="4">
        <v>12</v>
      </c>
      <c r="N5" s="4" t="b">
        <f t="shared" si="0"/>
        <v>0</v>
      </c>
    </row>
    <row r="6" spans="1:19" x14ac:dyDescent="0.2">
      <c r="A6" s="4" t="s">
        <v>373</v>
      </c>
      <c r="B6" s="4" t="s">
        <v>360</v>
      </c>
      <c r="C6" s="4" t="s">
        <v>361</v>
      </c>
      <c r="D6" s="4" t="s">
        <v>362</v>
      </c>
      <c r="E6" s="4" t="s">
        <v>363</v>
      </c>
      <c r="F6" s="4" t="s">
        <v>364</v>
      </c>
      <c r="G6" s="4" t="s">
        <v>365</v>
      </c>
      <c r="H6" s="4" t="s">
        <v>360</v>
      </c>
      <c r="I6" s="4" t="s">
        <v>374</v>
      </c>
      <c r="J6" s="4" t="s">
        <v>367</v>
      </c>
      <c r="K6" s="4">
        <v>120</v>
      </c>
      <c r="L6" s="4" t="s">
        <v>97</v>
      </c>
      <c r="M6" s="4">
        <v>12</v>
      </c>
      <c r="N6" s="4" t="b">
        <f t="shared" si="0"/>
        <v>0</v>
      </c>
    </row>
    <row r="7" spans="1:19" x14ac:dyDescent="0.2">
      <c r="A7" s="4" t="s">
        <v>375</v>
      </c>
      <c r="B7" s="4" t="s">
        <v>360</v>
      </c>
      <c r="C7" s="4" t="s">
        <v>361</v>
      </c>
      <c r="D7" s="4" t="s">
        <v>362</v>
      </c>
      <c r="E7" s="4" t="s">
        <v>363</v>
      </c>
      <c r="F7" s="4" t="s">
        <v>364</v>
      </c>
      <c r="G7" s="4" t="s">
        <v>365</v>
      </c>
      <c r="H7" s="4" t="s">
        <v>360</v>
      </c>
      <c r="I7" s="4" t="s">
        <v>374</v>
      </c>
      <c r="J7" s="4" t="s">
        <v>367</v>
      </c>
      <c r="K7" s="4">
        <v>130</v>
      </c>
      <c r="L7" s="4" t="s">
        <v>97</v>
      </c>
      <c r="M7" s="4">
        <v>12</v>
      </c>
      <c r="N7" s="4" t="b">
        <f t="shared" si="0"/>
        <v>0</v>
      </c>
    </row>
    <row r="8" spans="1:19" x14ac:dyDescent="0.2">
      <c r="A8" s="4" t="s">
        <v>376</v>
      </c>
      <c r="B8" s="4" t="s">
        <v>360</v>
      </c>
      <c r="C8" s="4" t="s">
        <v>361</v>
      </c>
      <c r="D8" s="4" t="s">
        <v>362</v>
      </c>
      <c r="E8" s="4" t="s">
        <v>363</v>
      </c>
      <c r="F8" s="4" t="s">
        <v>364</v>
      </c>
      <c r="G8" s="4" t="s">
        <v>365</v>
      </c>
      <c r="H8" s="4" t="s">
        <v>360</v>
      </c>
      <c r="I8" s="4" t="s">
        <v>377</v>
      </c>
      <c r="J8" s="4" t="s">
        <v>367</v>
      </c>
      <c r="K8" s="4">
        <v>140</v>
      </c>
      <c r="L8" s="4" t="s">
        <v>97</v>
      </c>
      <c r="M8" s="4">
        <v>12</v>
      </c>
      <c r="N8" s="4" t="b">
        <f t="shared" si="0"/>
        <v>0</v>
      </c>
    </row>
    <row r="9" spans="1:19" x14ac:dyDescent="0.2">
      <c r="A9" s="4" t="s">
        <v>378</v>
      </c>
      <c r="B9" s="4" t="s">
        <v>360</v>
      </c>
      <c r="C9" s="4" t="s">
        <v>361</v>
      </c>
      <c r="D9" s="4" t="s">
        <v>362</v>
      </c>
      <c r="E9" s="4" t="s">
        <v>363</v>
      </c>
      <c r="F9" s="4" t="s">
        <v>364</v>
      </c>
      <c r="G9" s="4" t="s">
        <v>365</v>
      </c>
      <c r="H9" s="4" t="s">
        <v>360</v>
      </c>
      <c r="I9" s="4" t="s">
        <v>379</v>
      </c>
      <c r="J9" s="4" t="s">
        <v>367</v>
      </c>
      <c r="K9" s="4">
        <v>150</v>
      </c>
      <c r="L9" s="4" t="s">
        <v>97</v>
      </c>
      <c r="M9" s="4">
        <v>12</v>
      </c>
      <c r="N9" s="4" t="b">
        <f t="shared" si="0"/>
        <v>0</v>
      </c>
    </row>
    <row r="10" spans="1:19" x14ac:dyDescent="0.2">
      <c r="A10" s="4" t="s">
        <v>380</v>
      </c>
      <c r="B10" s="4" t="s">
        <v>360</v>
      </c>
      <c r="C10" s="4" t="s">
        <v>361</v>
      </c>
      <c r="D10" s="4" t="s">
        <v>362</v>
      </c>
      <c r="E10" s="4" t="s">
        <v>363</v>
      </c>
      <c r="F10" s="4" t="s">
        <v>364</v>
      </c>
      <c r="G10" s="4" t="s">
        <v>365</v>
      </c>
      <c r="H10" s="4" t="s">
        <v>360</v>
      </c>
      <c r="I10" s="4" t="s">
        <v>379</v>
      </c>
      <c r="J10" s="4" t="s">
        <v>367</v>
      </c>
      <c r="K10" s="4">
        <v>160</v>
      </c>
      <c r="L10" s="4" t="s">
        <v>97</v>
      </c>
      <c r="M10" s="4">
        <v>12</v>
      </c>
      <c r="N10" s="4" t="b">
        <f t="shared" si="0"/>
        <v>0</v>
      </c>
    </row>
    <row r="11" spans="1:19" x14ac:dyDescent="0.2">
      <c r="A11" s="4" t="s">
        <v>381</v>
      </c>
      <c r="B11" s="4" t="s">
        <v>360</v>
      </c>
      <c r="C11" s="4" t="s">
        <v>361</v>
      </c>
      <c r="D11" s="4" t="s">
        <v>362</v>
      </c>
      <c r="E11" s="4" t="s">
        <v>363</v>
      </c>
      <c r="F11" s="4" t="s">
        <v>364</v>
      </c>
      <c r="G11" s="4" t="s">
        <v>365</v>
      </c>
      <c r="H11" s="4" t="s">
        <v>360</v>
      </c>
      <c r="I11" s="4" t="s">
        <v>382</v>
      </c>
      <c r="J11" s="4" t="s">
        <v>367</v>
      </c>
      <c r="K11" s="4">
        <v>170</v>
      </c>
      <c r="L11" s="4" t="s">
        <v>97</v>
      </c>
      <c r="M11" s="4">
        <v>12</v>
      </c>
      <c r="N11" s="4" t="b">
        <f t="shared" si="0"/>
        <v>0</v>
      </c>
    </row>
    <row r="12" spans="1:19" x14ac:dyDescent="0.2">
      <c r="A12" s="4" t="s">
        <v>383</v>
      </c>
      <c r="B12" s="4" t="s">
        <v>360</v>
      </c>
      <c r="C12" s="4" t="s">
        <v>361</v>
      </c>
      <c r="D12" s="4" t="s">
        <v>362</v>
      </c>
      <c r="E12" s="4" t="s">
        <v>363</v>
      </c>
      <c r="F12" s="4" t="s">
        <v>364</v>
      </c>
      <c r="G12" s="4" t="s">
        <v>365</v>
      </c>
      <c r="H12" s="4" t="s">
        <v>360</v>
      </c>
      <c r="I12" s="4" t="s">
        <v>382</v>
      </c>
      <c r="J12" s="4" t="s">
        <v>367</v>
      </c>
      <c r="K12" s="4">
        <v>180</v>
      </c>
      <c r="L12" s="4" t="s">
        <v>97</v>
      </c>
      <c r="M12" s="4">
        <v>12</v>
      </c>
      <c r="N12" s="4" t="b">
        <f t="shared" si="0"/>
        <v>0</v>
      </c>
    </row>
    <row r="13" spans="1:19" x14ac:dyDescent="0.2">
      <c r="A13" s="4" t="s">
        <v>384</v>
      </c>
      <c r="B13" s="4" t="s">
        <v>360</v>
      </c>
      <c r="C13" s="4" t="s">
        <v>361</v>
      </c>
      <c r="D13" s="4" t="s">
        <v>362</v>
      </c>
      <c r="E13" s="4" t="s">
        <v>363</v>
      </c>
      <c r="F13" s="4" t="s">
        <v>364</v>
      </c>
      <c r="G13" s="4" t="s">
        <v>365</v>
      </c>
      <c r="H13" s="4" t="s">
        <v>360</v>
      </c>
      <c r="I13" s="4" t="s">
        <v>385</v>
      </c>
      <c r="J13" s="4" t="s">
        <v>367</v>
      </c>
      <c r="K13" s="4">
        <v>190</v>
      </c>
      <c r="L13" s="4" t="s">
        <v>97</v>
      </c>
      <c r="M13" s="4">
        <v>12</v>
      </c>
      <c r="N13" s="4" t="b">
        <f t="shared" si="0"/>
        <v>0</v>
      </c>
    </row>
    <row r="14" spans="1:19" x14ac:dyDescent="0.2">
      <c r="A14" s="4" t="s">
        <v>386</v>
      </c>
      <c r="B14" s="4" t="s">
        <v>360</v>
      </c>
      <c r="C14" s="4" t="s">
        <v>361</v>
      </c>
      <c r="D14" s="4" t="s">
        <v>362</v>
      </c>
      <c r="E14" s="4" t="s">
        <v>363</v>
      </c>
      <c r="F14" s="4" t="s">
        <v>364</v>
      </c>
      <c r="G14" s="4" t="s">
        <v>365</v>
      </c>
      <c r="H14" s="4" t="s">
        <v>360</v>
      </c>
      <c r="I14" s="4" t="s">
        <v>387</v>
      </c>
      <c r="J14" s="4" t="s">
        <v>367</v>
      </c>
      <c r="K14" s="4">
        <v>205</v>
      </c>
      <c r="L14" s="4" t="s">
        <v>97</v>
      </c>
      <c r="M14" s="4">
        <f>_xlfn.NUMBERVALUE(MID(I14,4,2))</f>
        <v>12</v>
      </c>
      <c r="N14" s="4" t="b">
        <f t="shared" si="0"/>
        <v>0</v>
      </c>
    </row>
    <row r="15" spans="1:19" x14ac:dyDescent="0.2">
      <c r="A15" s="4" t="s">
        <v>388</v>
      </c>
      <c r="B15" s="4" t="s">
        <v>360</v>
      </c>
      <c r="C15" s="4" t="s">
        <v>361</v>
      </c>
      <c r="D15" s="4" t="s">
        <v>362</v>
      </c>
      <c r="E15" s="4" t="s">
        <v>363</v>
      </c>
      <c r="F15" s="4" t="s">
        <v>364</v>
      </c>
      <c r="G15" s="4" t="s">
        <v>365</v>
      </c>
      <c r="H15" s="4" t="s">
        <v>360</v>
      </c>
      <c r="I15" s="4" t="s">
        <v>389</v>
      </c>
      <c r="J15" s="4" t="s">
        <v>367</v>
      </c>
      <c r="K15" s="4">
        <v>220</v>
      </c>
      <c r="L15" s="4" t="s">
        <v>97</v>
      </c>
      <c r="M15" s="4">
        <f t="shared" ref="M15:M64" si="1">_xlfn.NUMBERVALUE(MID(I15,4,2))</f>
        <v>13</v>
      </c>
      <c r="N15" s="4" t="b">
        <f t="shared" si="0"/>
        <v>0</v>
      </c>
    </row>
    <row r="16" spans="1:19" x14ac:dyDescent="0.2">
      <c r="A16" s="4" t="s">
        <v>390</v>
      </c>
      <c r="B16" s="4" t="s">
        <v>360</v>
      </c>
      <c r="C16" s="4" t="s">
        <v>361</v>
      </c>
      <c r="D16" s="4" t="s">
        <v>362</v>
      </c>
      <c r="E16" s="4" t="s">
        <v>363</v>
      </c>
      <c r="F16" s="4" t="s">
        <v>364</v>
      </c>
      <c r="G16" s="4" t="s">
        <v>365</v>
      </c>
      <c r="H16" s="4" t="s">
        <v>360</v>
      </c>
      <c r="I16" s="4" t="s">
        <v>391</v>
      </c>
      <c r="J16" s="4" t="s">
        <v>367</v>
      </c>
      <c r="K16" s="4">
        <v>235</v>
      </c>
      <c r="L16" s="4" t="s">
        <v>97</v>
      </c>
      <c r="M16" s="4">
        <f t="shared" si="1"/>
        <v>14</v>
      </c>
      <c r="N16" s="4" t="b">
        <f t="shared" si="0"/>
        <v>0</v>
      </c>
    </row>
    <row r="17" spans="1:14" x14ac:dyDescent="0.2">
      <c r="A17" s="4" t="s">
        <v>392</v>
      </c>
      <c r="B17" s="4" t="s">
        <v>360</v>
      </c>
      <c r="C17" s="4" t="s">
        <v>361</v>
      </c>
      <c r="D17" s="4" t="s">
        <v>362</v>
      </c>
      <c r="E17" s="4" t="s">
        <v>363</v>
      </c>
      <c r="F17" s="4" t="s">
        <v>364</v>
      </c>
      <c r="G17" s="4" t="s">
        <v>365</v>
      </c>
      <c r="H17" s="4" t="s">
        <v>360</v>
      </c>
      <c r="I17" s="4" t="s">
        <v>393</v>
      </c>
      <c r="J17" s="4" t="s">
        <v>367</v>
      </c>
      <c r="K17" s="4">
        <v>250</v>
      </c>
      <c r="L17" s="4" t="s">
        <v>97</v>
      </c>
      <c r="M17" s="4">
        <f t="shared" si="1"/>
        <v>16</v>
      </c>
      <c r="N17" s="4" t="b">
        <f t="shared" si="0"/>
        <v>0</v>
      </c>
    </row>
    <row r="18" spans="1:14" x14ac:dyDescent="0.2">
      <c r="A18" s="4" t="s">
        <v>394</v>
      </c>
      <c r="B18" s="4" t="s">
        <v>360</v>
      </c>
      <c r="C18" s="4" t="s">
        <v>361</v>
      </c>
      <c r="D18" s="4" t="s">
        <v>362</v>
      </c>
      <c r="E18" s="4" t="s">
        <v>363</v>
      </c>
      <c r="F18" s="4" t="s">
        <v>364</v>
      </c>
      <c r="G18" s="4" t="s">
        <v>365</v>
      </c>
      <c r="H18" s="4" t="s">
        <v>360</v>
      </c>
      <c r="I18" s="4" t="s">
        <v>395</v>
      </c>
      <c r="J18" s="4" t="s">
        <v>367</v>
      </c>
      <c r="K18" s="4">
        <v>275</v>
      </c>
      <c r="L18" s="4" t="s">
        <v>97</v>
      </c>
      <c r="M18" s="4">
        <f t="shared" si="1"/>
        <v>17</v>
      </c>
      <c r="N18" s="4" t="b">
        <f t="shared" si="0"/>
        <v>0</v>
      </c>
    </row>
    <row r="19" spans="1:14" x14ac:dyDescent="0.2">
      <c r="A19" s="4" t="s">
        <v>396</v>
      </c>
      <c r="B19" s="4" t="s">
        <v>360</v>
      </c>
      <c r="C19" s="4" t="s">
        <v>361</v>
      </c>
      <c r="D19" s="4" t="s">
        <v>362</v>
      </c>
      <c r="E19" s="4" t="s">
        <v>363</v>
      </c>
      <c r="F19" s="4" t="s">
        <v>364</v>
      </c>
      <c r="G19" s="4" t="s">
        <v>365</v>
      </c>
      <c r="H19" s="4" t="s">
        <v>360</v>
      </c>
      <c r="I19" s="4" t="s">
        <v>397</v>
      </c>
      <c r="J19" s="4" t="s">
        <v>367</v>
      </c>
      <c r="K19" s="4">
        <v>300</v>
      </c>
      <c r="L19" s="4" t="s">
        <v>97</v>
      </c>
      <c r="M19" s="4">
        <f t="shared" si="1"/>
        <v>19</v>
      </c>
      <c r="N19" s="4" t="b">
        <f t="shared" si="0"/>
        <v>0</v>
      </c>
    </row>
    <row r="20" spans="1:14" x14ac:dyDescent="0.2">
      <c r="A20" s="4" t="s">
        <v>398</v>
      </c>
      <c r="B20" s="4" t="s">
        <v>360</v>
      </c>
      <c r="C20" s="4" t="s">
        <v>361</v>
      </c>
      <c r="D20" s="4" t="s">
        <v>362</v>
      </c>
      <c r="E20" s="4" t="s">
        <v>363</v>
      </c>
      <c r="F20" s="4" t="s">
        <v>364</v>
      </c>
      <c r="G20" s="4" t="s">
        <v>365</v>
      </c>
      <c r="H20" s="4" t="s">
        <v>360</v>
      </c>
      <c r="I20" s="4" t="s">
        <v>399</v>
      </c>
      <c r="J20" s="4" t="s">
        <v>367</v>
      </c>
      <c r="K20" s="4">
        <v>325</v>
      </c>
      <c r="L20" s="4" t="s">
        <v>97</v>
      </c>
      <c r="M20" s="4">
        <f t="shared" si="1"/>
        <v>21</v>
      </c>
      <c r="N20" s="4" t="b">
        <f t="shared" si="0"/>
        <v>0</v>
      </c>
    </row>
    <row r="21" spans="1:14" x14ac:dyDescent="0.2">
      <c r="A21" s="4" t="s">
        <v>400</v>
      </c>
      <c r="B21" s="4" t="s">
        <v>360</v>
      </c>
      <c r="C21" s="4" t="s">
        <v>361</v>
      </c>
      <c r="D21" s="4" t="s">
        <v>362</v>
      </c>
      <c r="E21" s="4" t="s">
        <v>363</v>
      </c>
      <c r="F21" s="4" t="s">
        <v>364</v>
      </c>
      <c r="G21" s="4" t="s">
        <v>365</v>
      </c>
      <c r="H21" s="4" t="s">
        <v>360</v>
      </c>
      <c r="I21" s="4" t="s">
        <v>401</v>
      </c>
      <c r="J21" s="4" t="s">
        <v>367</v>
      </c>
      <c r="K21" s="4">
        <v>350</v>
      </c>
      <c r="L21" s="4" t="s">
        <v>97</v>
      </c>
      <c r="M21" s="4">
        <f t="shared" si="1"/>
        <v>23</v>
      </c>
      <c r="N21" s="4" t="b">
        <f t="shared" si="0"/>
        <v>0</v>
      </c>
    </row>
    <row r="22" spans="1:14" x14ac:dyDescent="0.2">
      <c r="A22" s="4" t="s">
        <v>402</v>
      </c>
      <c r="B22" s="4" t="s">
        <v>360</v>
      </c>
      <c r="C22" s="4" t="s">
        <v>361</v>
      </c>
      <c r="D22" s="4" t="s">
        <v>362</v>
      </c>
      <c r="E22" s="4" t="s">
        <v>363</v>
      </c>
      <c r="F22" s="4" t="s">
        <v>364</v>
      </c>
      <c r="G22" s="4" t="s">
        <v>365</v>
      </c>
      <c r="H22" s="4" t="s">
        <v>360</v>
      </c>
      <c r="I22" s="4" t="s">
        <v>403</v>
      </c>
      <c r="J22" s="4" t="s">
        <v>367</v>
      </c>
      <c r="K22" s="4">
        <v>400</v>
      </c>
      <c r="L22" s="4" t="s">
        <v>97</v>
      </c>
      <c r="M22" s="4">
        <f t="shared" si="1"/>
        <v>26</v>
      </c>
      <c r="N22" s="4" t="b">
        <f t="shared" si="0"/>
        <v>0</v>
      </c>
    </row>
    <row r="23" spans="1:14" x14ac:dyDescent="0.2">
      <c r="A23" s="4" t="s">
        <v>404</v>
      </c>
      <c r="B23" s="4" t="s">
        <v>360</v>
      </c>
      <c r="C23" s="4" t="s">
        <v>361</v>
      </c>
      <c r="D23" s="4" t="s">
        <v>362</v>
      </c>
      <c r="E23" s="4" t="s">
        <v>363</v>
      </c>
      <c r="F23" s="4" t="s">
        <v>364</v>
      </c>
      <c r="G23" s="4" t="s">
        <v>365</v>
      </c>
      <c r="H23" s="4" t="s">
        <v>360</v>
      </c>
      <c r="I23" s="4" t="s">
        <v>405</v>
      </c>
      <c r="J23" s="4" t="s">
        <v>367</v>
      </c>
      <c r="K23" s="4">
        <v>450</v>
      </c>
      <c r="L23" s="4" t="s">
        <v>97</v>
      </c>
      <c r="M23" s="4">
        <f t="shared" si="1"/>
        <v>30</v>
      </c>
      <c r="N23" s="4" t="b">
        <f t="shared" si="0"/>
        <v>0</v>
      </c>
    </row>
    <row r="24" spans="1:14" x14ac:dyDescent="0.2">
      <c r="A24" s="4" t="s">
        <v>406</v>
      </c>
      <c r="B24" s="4" t="s">
        <v>360</v>
      </c>
      <c r="C24" s="4" t="s">
        <v>361</v>
      </c>
      <c r="D24" s="4" t="s">
        <v>362</v>
      </c>
      <c r="E24" s="4" t="s">
        <v>363</v>
      </c>
      <c r="F24" s="4" t="s">
        <v>364</v>
      </c>
      <c r="G24" s="4" t="s">
        <v>365</v>
      </c>
      <c r="H24" s="4" t="s">
        <v>360</v>
      </c>
      <c r="I24" s="4" t="s">
        <v>407</v>
      </c>
      <c r="J24" s="4" t="s">
        <v>367</v>
      </c>
      <c r="K24" s="4">
        <v>500</v>
      </c>
      <c r="L24" s="4" t="s">
        <v>97</v>
      </c>
      <c r="M24" s="4">
        <f t="shared" si="1"/>
        <v>33</v>
      </c>
      <c r="N24" s="4" t="b">
        <f t="shared" si="0"/>
        <v>0</v>
      </c>
    </row>
    <row r="25" spans="1:14" x14ac:dyDescent="0.2">
      <c r="A25" s="4" t="s">
        <v>408</v>
      </c>
      <c r="B25" s="4" t="s">
        <v>360</v>
      </c>
      <c r="C25" s="4" t="s">
        <v>361</v>
      </c>
      <c r="D25" s="4" t="s">
        <v>362</v>
      </c>
      <c r="E25" s="4" t="s">
        <v>363</v>
      </c>
      <c r="F25" s="4" t="s">
        <v>364</v>
      </c>
      <c r="G25" s="4" t="s">
        <v>365</v>
      </c>
      <c r="H25" s="4" t="s">
        <v>360</v>
      </c>
      <c r="I25" s="4" t="s">
        <v>409</v>
      </c>
      <c r="J25" s="4" t="s">
        <v>367</v>
      </c>
      <c r="K25" s="4">
        <v>550</v>
      </c>
      <c r="L25" s="4" t="s">
        <v>97</v>
      </c>
      <c r="M25" s="4">
        <f t="shared" si="1"/>
        <v>36</v>
      </c>
      <c r="N25" s="4" t="b">
        <f t="shared" si="0"/>
        <v>0</v>
      </c>
    </row>
    <row r="26" spans="1:14" x14ac:dyDescent="0.2">
      <c r="A26" s="4" t="s">
        <v>410</v>
      </c>
      <c r="B26" s="4" t="s">
        <v>360</v>
      </c>
      <c r="C26" s="4" t="s">
        <v>361</v>
      </c>
      <c r="D26" s="4" t="s">
        <v>362</v>
      </c>
      <c r="E26" s="4" t="s">
        <v>363</v>
      </c>
      <c r="F26" s="4" t="s">
        <v>364</v>
      </c>
      <c r="G26" s="4" t="s">
        <v>365</v>
      </c>
      <c r="H26" s="4" t="s">
        <v>360</v>
      </c>
      <c r="I26" s="4" t="s">
        <v>411</v>
      </c>
      <c r="J26" s="4" t="s">
        <v>367</v>
      </c>
      <c r="K26" s="4">
        <v>600</v>
      </c>
      <c r="L26" s="4" t="s">
        <v>97</v>
      </c>
      <c r="M26" s="4">
        <f t="shared" si="1"/>
        <v>40</v>
      </c>
      <c r="N26" s="4" t="b">
        <f t="shared" si="0"/>
        <v>0</v>
      </c>
    </row>
    <row r="27" spans="1:14" x14ac:dyDescent="0.2">
      <c r="A27" s="4" t="s">
        <v>412</v>
      </c>
      <c r="B27" s="4" t="s">
        <v>360</v>
      </c>
      <c r="C27" s="4" t="s">
        <v>361</v>
      </c>
      <c r="D27" s="4" t="s">
        <v>362</v>
      </c>
      <c r="E27" s="4" t="s">
        <v>363</v>
      </c>
      <c r="F27" s="4" t="s">
        <v>364</v>
      </c>
      <c r="G27" s="4" t="s">
        <v>365</v>
      </c>
      <c r="H27" s="4" t="s">
        <v>360</v>
      </c>
      <c r="I27" s="4" t="s">
        <v>413</v>
      </c>
      <c r="J27" s="4" t="s">
        <v>367</v>
      </c>
      <c r="K27" s="4">
        <v>650</v>
      </c>
      <c r="L27" s="4" t="s">
        <v>97</v>
      </c>
      <c r="M27" s="4">
        <f t="shared" si="1"/>
        <v>43</v>
      </c>
      <c r="N27" s="4" t="b">
        <f t="shared" si="0"/>
        <v>0</v>
      </c>
    </row>
    <row r="28" spans="1:14" x14ac:dyDescent="0.2">
      <c r="A28" s="4" t="s">
        <v>414</v>
      </c>
      <c r="B28" s="4" t="s">
        <v>360</v>
      </c>
      <c r="C28" s="4" t="s">
        <v>361</v>
      </c>
      <c r="D28" s="4" t="s">
        <v>362</v>
      </c>
      <c r="E28" s="4" t="s">
        <v>363</v>
      </c>
      <c r="F28" s="4" t="s">
        <v>364</v>
      </c>
      <c r="G28" s="4" t="s">
        <v>365</v>
      </c>
      <c r="H28" s="4" t="s">
        <v>360</v>
      </c>
      <c r="I28" s="4" t="s">
        <v>415</v>
      </c>
      <c r="J28" s="4" t="s">
        <v>367</v>
      </c>
      <c r="K28" s="4">
        <v>700</v>
      </c>
      <c r="L28" s="4" t="s">
        <v>97</v>
      </c>
      <c r="M28" s="4">
        <f t="shared" si="1"/>
        <v>46</v>
      </c>
      <c r="N28" s="4" t="b">
        <f t="shared" si="0"/>
        <v>0</v>
      </c>
    </row>
    <row r="29" spans="1:14" x14ac:dyDescent="0.2">
      <c r="A29" s="4" t="s">
        <v>416</v>
      </c>
      <c r="B29" s="4" t="s">
        <v>360</v>
      </c>
      <c r="C29" s="4" t="s">
        <v>361</v>
      </c>
      <c r="D29" s="4" t="s">
        <v>362</v>
      </c>
      <c r="E29" s="4" t="s">
        <v>363</v>
      </c>
      <c r="F29" s="4" t="s">
        <v>364</v>
      </c>
      <c r="G29" s="4" t="s">
        <v>365</v>
      </c>
      <c r="H29" s="4" t="s">
        <v>360</v>
      </c>
      <c r="I29" s="4" t="s">
        <v>417</v>
      </c>
      <c r="J29" s="4" t="s">
        <v>367</v>
      </c>
      <c r="K29" s="4">
        <v>750</v>
      </c>
      <c r="L29" s="4" t="s">
        <v>97</v>
      </c>
      <c r="M29" s="4">
        <f t="shared" si="1"/>
        <v>49</v>
      </c>
      <c r="N29" s="4" t="b">
        <f t="shared" si="0"/>
        <v>0</v>
      </c>
    </row>
    <row r="30" spans="1:14" x14ac:dyDescent="0.2">
      <c r="A30" s="4" t="s">
        <v>418</v>
      </c>
      <c r="B30" s="4" t="s">
        <v>360</v>
      </c>
      <c r="C30" s="4" t="s">
        <v>361</v>
      </c>
      <c r="D30" s="4" t="s">
        <v>362</v>
      </c>
      <c r="E30" s="4" t="s">
        <v>363</v>
      </c>
      <c r="F30" s="4" t="s">
        <v>364</v>
      </c>
      <c r="G30" s="4" t="s">
        <v>365</v>
      </c>
      <c r="H30" s="4" t="s">
        <v>360</v>
      </c>
      <c r="I30" s="4" t="s">
        <v>419</v>
      </c>
      <c r="J30" s="4" t="s">
        <v>367</v>
      </c>
      <c r="K30" s="4">
        <v>800</v>
      </c>
      <c r="L30" s="4" t="s">
        <v>97</v>
      </c>
      <c r="M30" s="4">
        <f t="shared" si="1"/>
        <v>53</v>
      </c>
      <c r="N30" s="4" t="b">
        <f t="shared" si="0"/>
        <v>0</v>
      </c>
    </row>
    <row r="31" spans="1:14" x14ac:dyDescent="0.2">
      <c r="A31" s="4" t="s">
        <v>420</v>
      </c>
      <c r="B31" s="4" t="s">
        <v>360</v>
      </c>
      <c r="C31" s="4" t="s">
        <v>361</v>
      </c>
      <c r="D31" s="4" t="s">
        <v>362</v>
      </c>
      <c r="E31" s="4" t="s">
        <v>363</v>
      </c>
      <c r="F31" s="4" t="s">
        <v>364</v>
      </c>
      <c r="G31" s="4" t="s">
        <v>365</v>
      </c>
      <c r="H31" s="4" t="s">
        <v>360</v>
      </c>
      <c r="I31" s="4" t="s">
        <v>421</v>
      </c>
      <c r="J31" s="4" t="s">
        <v>367</v>
      </c>
      <c r="K31" s="4">
        <v>850</v>
      </c>
      <c r="L31" s="4" t="s">
        <v>97</v>
      </c>
      <c r="M31" s="4">
        <f t="shared" si="1"/>
        <v>56</v>
      </c>
      <c r="N31" s="4" t="b">
        <f t="shared" si="0"/>
        <v>0</v>
      </c>
    </row>
    <row r="32" spans="1:14" x14ac:dyDescent="0.2">
      <c r="A32" s="4" t="s">
        <v>422</v>
      </c>
      <c r="B32" s="4" t="s">
        <v>360</v>
      </c>
      <c r="C32" s="4" t="s">
        <v>361</v>
      </c>
      <c r="D32" s="4" t="s">
        <v>362</v>
      </c>
      <c r="E32" s="4" t="s">
        <v>363</v>
      </c>
      <c r="F32" s="4" t="s">
        <v>364</v>
      </c>
      <c r="G32" s="4" t="s">
        <v>365</v>
      </c>
      <c r="H32" s="4" t="s">
        <v>360</v>
      </c>
      <c r="I32" s="4" t="s">
        <v>423</v>
      </c>
      <c r="J32" s="4" t="s">
        <v>367</v>
      </c>
      <c r="K32" s="4">
        <v>900</v>
      </c>
      <c r="L32" s="4" t="s">
        <v>97</v>
      </c>
      <c r="M32" s="4">
        <f t="shared" si="1"/>
        <v>59</v>
      </c>
      <c r="N32" s="4" t="b">
        <f t="shared" si="0"/>
        <v>0</v>
      </c>
    </row>
    <row r="33" spans="1:14" x14ac:dyDescent="0.2">
      <c r="A33" s="4" t="s">
        <v>424</v>
      </c>
      <c r="B33" s="4" t="s">
        <v>360</v>
      </c>
      <c r="C33" s="4" t="s">
        <v>361</v>
      </c>
      <c r="D33" s="4" t="s">
        <v>362</v>
      </c>
      <c r="E33" s="4" t="s">
        <v>363</v>
      </c>
      <c r="F33" s="4" t="s">
        <v>364</v>
      </c>
      <c r="G33" s="4" t="s">
        <v>365</v>
      </c>
      <c r="H33" s="4" t="s">
        <v>360</v>
      </c>
      <c r="I33" s="4" t="s">
        <v>425</v>
      </c>
      <c r="J33" s="4" t="s">
        <v>367</v>
      </c>
      <c r="K33" s="4">
        <v>950</v>
      </c>
      <c r="L33" s="4" t="s">
        <v>97</v>
      </c>
      <c r="M33" s="4">
        <f t="shared" si="1"/>
        <v>62</v>
      </c>
      <c r="N33" s="4" t="b">
        <f t="shared" si="0"/>
        <v>0</v>
      </c>
    </row>
    <row r="34" spans="1:14" x14ac:dyDescent="0.2">
      <c r="A34" s="4" t="s">
        <v>426</v>
      </c>
      <c r="B34" s="4" t="s">
        <v>360</v>
      </c>
      <c r="C34" s="4" t="s">
        <v>361</v>
      </c>
      <c r="D34" s="4" t="s">
        <v>362</v>
      </c>
      <c r="E34" s="4" t="s">
        <v>363</v>
      </c>
      <c r="F34" s="4" t="s">
        <v>364</v>
      </c>
      <c r="G34" s="4" t="s">
        <v>365</v>
      </c>
      <c r="H34" s="4" t="s">
        <v>360</v>
      </c>
      <c r="I34" s="4" t="s">
        <v>427</v>
      </c>
      <c r="J34" s="4" t="s">
        <v>367</v>
      </c>
      <c r="K34" s="4">
        <v>1000</v>
      </c>
      <c r="L34" s="4" t="s">
        <v>97</v>
      </c>
      <c r="M34" s="4">
        <f t="shared" si="1"/>
        <v>66</v>
      </c>
      <c r="N34" s="4" t="b">
        <f t="shared" si="0"/>
        <v>0</v>
      </c>
    </row>
    <row r="35" spans="1:14" x14ac:dyDescent="0.2">
      <c r="A35" s="4" t="s">
        <v>428</v>
      </c>
      <c r="B35" s="4" t="s">
        <v>360</v>
      </c>
      <c r="C35" s="4" t="s">
        <v>361</v>
      </c>
      <c r="D35" s="4" t="s">
        <v>362</v>
      </c>
      <c r="E35" s="4" t="s">
        <v>363</v>
      </c>
      <c r="F35" s="4" t="s">
        <v>364</v>
      </c>
      <c r="G35" s="4" t="s">
        <v>365</v>
      </c>
      <c r="H35" s="4" t="s">
        <v>360</v>
      </c>
      <c r="I35" s="4" t="s">
        <v>429</v>
      </c>
      <c r="J35" s="4" t="s">
        <v>367</v>
      </c>
      <c r="K35" s="4">
        <v>1050</v>
      </c>
      <c r="L35" s="4" t="s">
        <v>97</v>
      </c>
      <c r="M35" s="4">
        <f t="shared" si="1"/>
        <v>69</v>
      </c>
      <c r="N35" s="4" t="b">
        <f t="shared" si="0"/>
        <v>0</v>
      </c>
    </row>
    <row r="36" spans="1:14" x14ac:dyDescent="0.2">
      <c r="A36" s="4" t="s">
        <v>430</v>
      </c>
      <c r="B36" s="4" t="s">
        <v>360</v>
      </c>
      <c r="C36" s="4" t="s">
        <v>361</v>
      </c>
      <c r="D36" s="4" t="s">
        <v>362</v>
      </c>
      <c r="E36" s="4" t="s">
        <v>363</v>
      </c>
      <c r="F36" s="4" t="s">
        <v>364</v>
      </c>
      <c r="G36" s="4" t="s">
        <v>365</v>
      </c>
      <c r="H36" s="4" t="s">
        <v>360</v>
      </c>
      <c r="I36" s="4" t="s">
        <v>431</v>
      </c>
      <c r="J36" s="4" t="s">
        <v>367</v>
      </c>
      <c r="K36" s="4">
        <v>1100</v>
      </c>
      <c r="L36" s="4" t="s">
        <v>97</v>
      </c>
      <c r="M36" s="4">
        <f t="shared" si="1"/>
        <v>72</v>
      </c>
      <c r="N36" s="4" t="b">
        <f t="shared" si="0"/>
        <v>0</v>
      </c>
    </row>
    <row r="37" spans="1:14" x14ac:dyDescent="0.2">
      <c r="A37" s="4" t="s">
        <v>432</v>
      </c>
      <c r="B37" s="4" t="s">
        <v>360</v>
      </c>
      <c r="C37" s="4" t="s">
        <v>361</v>
      </c>
      <c r="D37" s="4" t="s">
        <v>362</v>
      </c>
      <c r="E37" s="4" t="s">
        <v>363</v>
      </c>
      <c r="F37" s="4" t="s">
        <v>364</v>
      </c>
      <c r="G37" s="4" t="s">
        <v>365</v>
      </c>
      <c r="H37" s="4" t="s">
        <v>360</v>
      </c>
      <c r="I37" s="4" t="s">
        <v>433</v>
      </c>
      <c r="J37" s="4" t="s">
        <v>367</v>
      </c>
      <c r="K37" s="4">
        <v>1150</v>
      </c>
      <c r="L37" s="4" t="s">
        <v>97</v>
      </c>
      <c r="M37" s="4">
        <f t="shared" si="1"/>
        <v>76</v>
      </c>
      <c r="N37" s="4" t="b">
        <f t="shared" si="0"/>
        <v>0</v>
      </c>
    </row>
    <row r="38" spans="1:14" x14ac:dyDescent="0.2">
      <c r="A38" s="4" t="s">
        <v>434</v>
      </c>
      <c r="B38" s="4" t="s">
        <v>360</v>
      </c>
      <c r="C38" s="4" t="s">
        <v>361</v>
      </c>
      <c r="D38" s="4" t="s">
        <v>362</v>
      </c>
      <c r="E38" s="4" t="s">
        <v>363</v>
      </c>
      <c r="F38" s="4" t="s">
        <v>364</v>
      </c>
      <c r="G38" s="4" t="s">
        <v>365</v>
      </c>
      <c r="H38" s="4" t="s">
        <v>360</v>
      </c>
      <c r="I38" s="4" t="s">
        <v>435</v>
      </c>
      <c r="J38" s="4" t="s">
        <v>367</v>
      </c>
      <c r="K38" s="4">
        <v>1200</v>
      </c>
      <c r="L38" s="4" t="s">
        <v>97</v>
      </c>
      <c r="M38" s="4">
        <f t="shared" si="1"/>
        <v>79</v>
      </c>
      <c r="N38" s="4" t="b">
        <f t="shared" si="0"/>
        <v>0</v>
      </c>
    </row>
    <row r="39" spans="1:14" x14ac:dyDescent="0.2">
      <c r="A39" s="4" t="s">
        <v>436</v>
      </c>
      <c r="B39" s="4" t="s">
        <v>360</v>
      </c>
      <c r="C39" s="4" t="s">
        <v>361</v>
      </c>
      <c r="D39" s="4" t="s">
        <v>362</v>
      </c>
      <c r="E39" s="4" t="s">
        <v>363</v>
      </c>
      <c r="F39" s="4" t="s">
        <v>364</v>
      </c>
      <c r="G39" s="4" t="s">
        <v>365</v>
      </c>
      <c r="H39" s="4" t="s">
        <v>360</v>
      </c>
      <c r="I39" s="4" t="s">
        <v>437</v>
      </c>
      <c r="J39" s="4" t="s">
        <v>367</v>
      </c>
      <c r="K39" s="4">
        <v>1250</v>
      </c>
      <c r="L39" s="4" t="s">
        <v>97</v>
      </c>
      <c r="M39" s="4">
        <f t="shared" si="1"/>
        <v>82</v>
      </c>
      <c r="N39" s="4" t="b">
        <f t="shared" si="0"/>
        <v>0</v>
      </c>
    </row>
    <row r="40" spans="1:14" x14ac:dyDescent="0.2">
      <c r="A40" s="4" t="s">
        <v>438</v>
      </c>
      <c r="B40" s="4" t="s">
        <v>360</v>
      </c>
      <c r="C40" s="4" t="s">
        <v>361</v>
      </c>
      <c r="D40" s="4" t="s">
        <v>362</v>
      </c>
      <c r="E40" s="4" t="s">
        <v>363</v>
      </c>
      <c r="F40" s="4" t="s">
        <v>364</v>
      </c>
      <c r="G40" s="4" t="s">
        <v>365</v>
      </c>
      <c r="H40" s="4" t="s">
        <v>360</v>
      </c>
      <c r="I40" s="4" t="s">
        <v>439</v>
      </c>
      <c r="J40" s="4" t="s">
        <v>367</v>
      </c>
      <c r="K40" s="4">
        <v>1300</v>
      </c>
      <c r="L40" s="4" t="s">
        <v>97</v>
      </c>
      <c r="M40" s="4">
        <f t="shared" si="1"/>
        <v>85</v>
      </c>
      <c r="N40" s="4" t="b">
        <f t="shared" si="0"/>
        <v>0</v>
      </c>
    </row>
    <row r="41" spans="1:14" x14ac:dyDescent="0.2">
      <c r="A41" s="4" t="s">
        <v>440</v>
      </c>
      <c r="B41" s="4" t="s">
        <v>360</v>
      </c>
      <c r="C41" s="4" t="s">
        <v>361</v>
      </c>
      <c r="D41" s="4" t="s">
        <v>362</v>
      </c>
      <c r="E41" s="4" t="s">
        <v>363</v>
      </c>
      <c r="F41" s="4" t="s">
        <v>364</v>
      </c>
      <c r="G41" s="4" t="s">
        <v>365</v>
      </c>
      <c r="H41" s="4" t="s">
        <v>360</v>
      </c>
      <c r="I41" s="4" t="s">
        <v>441</v>
      </c>
      <c r="J41" s="4" t="s">
        <v>367</v>
      </c>
      <c r="K41" s="4">
        <v>1350</v>
      </c>
      <c r="L41" s="4" t="s">
        <v>97</v>
      </c>
      <c r="M41" s="4">
        <f t="shared" si="1"/>
        <v>89</v>
      </c>
      <c r="N41" s="4" t="b">
        <f t="shared" si="0"/>
        <v>0</v>
      </c>
    </row>
    <row r="42" spans="1:14" x14ac:dyDescent="0.2">
      <c r="A42" s="4" t="s">
        <v>442</v>
      </c>
      <c r="B42" s="4" t="s">
        <v>360</v>
      </c>
      <c r="C42" s="4" t="s">
        <v>361</v>
      </c>
      <c r="D42" s="4" t="s">
        <v>362</v>
      </c>
      <c r="E42" s="4" t="s">
        <v>363</v>
      </c>
      <c r="F42" s="4" t="s">
        <v>364</v>
      </c>
      <c r="G42" s="4" t="s">
        <v>365</v>
      </c>
      <c r="H42" s="4" t="s">
        <v>360</v>
      </c>
      <c r="I42" s="4" t="s">
        <v>443</v>
      </c>
      <c r="J42" s="4" t="s">
        <v>367</v>
      </c>
      <c r="K42" s="4">
        <v>1400</v>
      </c>
      <c r="L42" s="4" t="s">
        <v>97</v>
      </c>
      <c r="M42" s="4">
        <f t="shared" si="1"/>
        <v>92</v>
      </c>
      <c r="N42" s="4" t="b">
        <f t="shared" si="0"/>
        <v>0</v>
      </c>
    </row>
    <row r="43" spans="1:14" x14ac:dyDescent="0.2">
      <c r="A43" s="4" t="s">
        <v>444</v>
      </c>
      <c r="B43" s="4" t="s">
        <v>360</v>
      </c>
      <c r="C43" s="4" t="s">
        <v>361</v>
      </c>
      <c r="D43" s="4" t="s">
        <v>362</v>
      </c>
      <c r="E43" s="4" t="s">
        <v>363</v>
      </c>
      <c r="F43" s="4" t="s">
        <v>364</v>
      </c>
      <c r="G43" s="4" t="s">
        <v>365</v>
      </c>
      <c r="H43" s="4" t="s">
        <v>360</v>
      </c>
      <c r="I43" s="4" t="s">
        <v>445</v>
      </c>
      <c r="J43" s="4" t="s">
        <v>367</v>
      </c>
      <c r="K43" s="4">
        <v>1450</v>
      </c>
      <c r="L43" s="4" t="s">
        <v>97</v>
      </c>
      <c r="M43" s="4">
        <f t="shared" si="1"/>
        <v>95</v>
      </c>
      <c r="N43" s="4" t="b">
        <f t="shared" si="0"/>
        <v>0</v>
      </c>
    </row>
    <row r="44" spans="1:14" x14ac:dyDescent="0.2">
      <c r="A44" s="4" t="s">
        <v>446</v>
      </c>
      <c r="B44" s="4" t="s">
        <v>360</v>
      </c>
      <c r="C44" s="4" t="s">
        <v>361</v>
      </c>
      <c r="D44" s="4" t="s">
        <v>362</v>
      </c>
      <c r="E44" s="4" t="s">
        <v>363</v>
      </c>
      <c r="F44" s="4" t="s">
        <v>364</v>
      </c>
      <c r="G44" s="4" t="s">
        <v>365</v>
      </c>
      <c r="H44" s="4" t="s">
        <v>360</v>
      </c>
      <c r="I44" s="4" t="s">
        <v>447</v>
      </c>
      <c r="J44" s="4" t="s">
        <v>367</v>
      </c>
      <c r="K44" s="4">
        <v>1500</v>
      </c>
      <c r="L44" s="4" t="s">
        <v>97</v>
      </c>
      <c r="M44" s="4">
        <f t="shared" si="1"/>
        <v>99</v>
      </c>
      <c r="N44" s="4" t="b">
        <f t="shared" si="0"/>
        <v>0</v>
      </c>
    </row>
    <row r="45" spans="1:14" x14ac:dyDescent="0.2">
      <c r="A45" s="4" t="s">
        <v>448</v>
      </c>
      <c r="B45" s="4" t="s">
        <v>360</v>
      </c>
      <c r="C45" s="4" t="s">
        <v>361</v>
      </c>
      <c r="D45" s="4" t="s">
        <v>362</v>
      </c>
      <c r="E45" s="4" t="s">
        <v>363</v>
      </c>
      <c r="F45" s="4" t="s">
        <v>364</v>
      </c>
      <c r="G45" s="4" t="s">
        <v>365</v>
      </c>
      <c r="H45" s="4" t="s">
        <v>360</v>
      </c>
      <c r="I45" s="4" t="s">
        <v>449</v>
      </c>
      <c r="J45" s="4" t="s">
        <v>367</v>
      </c>
      <c r="K45" s="4">
        <v>1550</v>
      </c>
      <c r="L45" s="4" t="s">
        <v>97</v>
      </c>
      <c r="M45" s="4">
        <f t="shared" si="1"/>
        <v>10</v>
      </c>
      <c r="N45" s="4" t="b">
        <f t="shared" si="0"/>
        <v>0</v>
      </c>
    </row>
    <row r="46" spans="1:14" x14ac:dyDescent="0.2">
      <c r="A46" s="4" t="s">
        <v>450</v>
      </c>
      <c r="B46" s="4" t="s">
        <v>360</v>
      </c>
      <c r="C46" s="4" t="s">
        <v>361</v>
      </c>
      <c r="D46" s="4" t="s">
        <v>362</v>
      </c>
      <c r="E46" s="4" t="s">
        <v>363</v>
      </c>
      <c r="F46" s="4" t="s">
        <v>364</v>
      </c>
      <c r="G46" s="4" t="s">
        <v>365</v>
      </c>
      <c r="H46" s="4" t="s">
        <v>360</v>
      </c>
      <c r="I46" s="4" t="s">
        <v>451</v>
      </c>
      <c r="J46" s="4" t="s">
        <v>367</v>
      </c>
      <c r="K46" s="4">
        <v>1600</v>
      </c>
      <c r="L46" s="4" t="s">
        <v>97</v>
      </c>
      <c r="M46" s="4">
        <f t="shared" si="1"/>
        <v>10</v>
      </c>
      <c r="N46" s="4" t="b">
        <f t="shared" si="0"/>
        <v>0</v>
      </c>
    </row>
    <row r="47" spans="1:14" x14ac:dyDescent="0.2">
      <c r="A47" s="4" t="s">
        <v>452</v>
      </c>
      <c r="B47" s="4" t="s">
        <v>360</v>
      </c>
      <c r="C47" s="4" t="s">
        <v>361</v>
      </c>
      <c r="D47" s="4" t="s">
        <v>362</v>
      </c>
      <c r="E47" s="4" t="s">
        <v>363</v>
      </c>
      <c r="F47" s="4" t="s">
        <v>364</v>
      </c>
      <c r="G47" s="4" t="s">
        <v>365</v>
      </c>
      <c r="H47" s="4" t="s">
        <v>360</v>
      </c>
      <c r="I47" s="4" t="s">
        <v>453</v>
      </c>
      <c r="J47" s="4" t="s">
        <v>367</v>
      </c>
      <c r="K47" s="4">
        <v>1650</v>
      </c>
      <c r="L47" s="4" t="s">
        <v>97</v>
      </c>
      <c r="M47" s="4">
        <f t="shared" si="1"/>
        <v>10</v>
      </c>
      <c r="N47" s="4" t="b">
        <f t="shared" si="0"/>
        <v>0</v>
      </c>
    </row>
    <row r="48" spans="1:14" x14ac:dyDescent="0.2">
      <c r="A48" s="4" t="s">
        <v>454</v>
      </c>
      <c r="B48" s="4" t="s">
        <v>360</v>
      </c>
      <c r="C48" s="4" t="s">
        <v>361</v>
      </c>
      <c r="D48" s="4" t="s">
        <v>362</v>
      </c>
      <c r="E48" s="4" t="s">
        <v>363</v>
      </c>
      <c r="F48" s="4" t="s">
        <v>364</v>
      </c>
      <c r="G48" s="4" t="s">
        <v>365</v>
      </c>
      <c r="H48" s="4" t="s">
        <v>360</v>
      </c>
      <c r="I48" s="4" t="s">
        <v>455</v>
      </c>
      <c r="J48" s="4" t="s">
        <v>367</v>
      </c>
      <c r="K48" s="4">
        <v>1700</v>
      </c>
      <c r="L48" s="4" t="s">
        <v>97</v>
      </c>
      <c r="M48" s="4">
        <f t="shared" si="1"/>
        <v>11</v>
      </c>
      <c r="N48" s="4" t="b">
        <f t="shared" si="0"/>
        <v>0</v>
      </c>
    </row>
    <row r="49" spans="1:14" x14ac:dyDescent="0.2">
      <c r="A49" s="4" t="s">
        <v>456</v>
      </c>
      <c r="B49" s="4" t="s">
        <v>360</v>
      </c>
      <c r="C49" s="4" t="s">
        <v>361</v>
      </c>
      <c r="D49" s="4" t="s">
        <v>362</v>
      </c>
      <c r="E49" s="4" t="s">
        <v>363</v>
      </c>
      <c r="F49" s="4" t="s">
        <v>364</v>
      </c>
      <c r="G49" s="4" t="s">
        <v>365</v>
      </c>
      <c r="H49" s="4" t="s">
        <v>360</v>
      </c>
      <c r="I49" s="4" t="s">
        <v>457</v>
      </c>
      <c r="J49" s="4" t="s">
        <v>367</v>
      </c>
      <c r="K49" s="4">
        <v>1750</v>
      </c>
      <c r="L49" s="4" t="s">
        <v>97</v>
      </c>
      <c r="M49" s="4">
        <f t="shared" si="1"/>
        <v>11</v>
      </c>
      <c r="N49" s="4" t="b">
        <f t="shared" si="0"/>
        <v>0</v>
      </c>
    </row>
    <row r="50" spans="1:14" x14ac:dyDescent="0.2">
      <c r="A50" s="4" t="s">
        <v>458</v>
      </c>
      <c r="B50" s="4" t="s">
        <v>360</v>
      </c>
      <c r="C50" s="4" t="s">
        <v>361</v>
      </c>
      <c r="D50" s="4" t="s">
        <v>362</v>
      </c>
      <c r="E50" s="4" t="s">
        <v>363</v>
      </c>
      <c r="F50" s="4" t="s">
        <v>364</v>
      </c>
      <c r="G50" s="4" t="s">
        <v>365</v>
      </c>
      <c r="H50" s="4" t="s">
        <v>360</v>
      </c>
      <c r="I50" s="4" t="s">
        <v>459</v>
      </c>
      <c r="J50" s="4" t="s">
        <v>367</v>
      </c>
      <c r="K50" s="4">
        <v>1800</v>
      </c>
      <c r="L50" s="4" t="s">
        <v>97</v>
      </c>
      <c r="M50" s="4">
        <f t="shared" si="1"/>
        <v>11</v>
      </c>
      <c r="N50" s="4" t="b">
        <f t="shared" si="0"/>
        <v>0</v>
      </c>
    </row>
    <row r="51" spans="1:14" x14ac:dyDescent="0.2">
      <c r="A51" s="4" t="s">
        <v>460</v>
      </c>
      <c r="B51" s="4" t="s">
        <v>360</v>
      </c>
      <c r="C51" s="4" t="s">
        <v>361</v>
      </c>
      <c r="D51" s="4" t="s">
        <v>362</v>
      </c>
      <c r="E51" s="4" t="s">
        <v>363</v>
      </c>
      <c r="F51" s="4" t="s">
        <v>364</v>
      </c>
      <c r="G51" s="4" t="s">
        <v>365</v>
      </c>
      <c r="H51" s="4" t="s">
        <v>360</v>
      </c>
      <c r="I51" s="4" t="s">
        <v>461</v>
      </c>
      <c r="J51" s="4" t="s">
        <v>367</v>
      </c>
      <c r="K51" s="4">
        <v>1850</v>
      </c>
      <c r="L51" s="4" t="s">
        <v>97</v>
      </c>
      <c r="M51" s="4">
        <f t="shared" si="1"/>
        <v>12</v>
      </c>
      <c r="N51" s="4" t="b">
        <f t="shared" si="0"/>
        <v>0</v>
      </c>
    </row>
    <row r="52" spans="1:14" x14ac:dyDescent="0.2">
      <c r="A52" s="4" t="s">
        <v>462</v>
      </c>
      <c r="B52" s="4" t="s">
        <v>360</v>
      </c>
      <c r="C52" s="4" t="s">
        <v>361</v>
      </c>
      <c r="D52" s="4" t="s">
        <v>362</v>
      </c>
      <c r="E52" s="4" t="s">
        <v>363</v>
      </c>
      <c r="F52" s="4" t="s">
        <v>364</v>
      </c>
      <c r="G52" s="4" t="s">
        <v>365</v>
      </c>
      <c r="H52" s="4" t="s">
        <v>360</v>
      </c>
      <c r="I52" s="4" t="s">
        <v>463</v>
      </c>
      <c r="J52" s="4" t="s">
        <v>367</v>
      </c>
      <c r="K52" s="4">
        <v>1900</v>
      </c>
      <c r="L52" s="4" t="s">
        <v>97</v>
      </c>
      <c r="M52" s="4">
        <f t="shared" si="1"/>
        <v>12</v>
      </c>
      <c r="N52" s="4" t="b">
        <f t="shared" si="0"/>
        <v>0</v>
      </c>
    </row>
    <row r="53" spans="1:14" x14ac:dyDescent="0.2">
      <c r="A53" s="4" t="s">
        <v>464</v>
      </c>
      <c r="B53" s="4" t="s">
        <v>360</v>
      </c>
      <c r="C53" s="4" t="s">
        <v>361</v>
      </c>
      <c r="D53" s="4" t="s">
        <v>362</v>
      </c>
      <c r="E53" s="4" t="s">
        <v>363</v>
      </c>
      <c r="F53" s="4" t="s">
        <v>364</v>
      </c>
      <c r="G53" s="4" t="s">
        <v>365</v>
      </c>
      <c r="H53" s="4" t="s">
        <v>360</v>
      </c>
      <c r="I53" s="4" t="s">
        <v>465</v>
      </c>
      <c r="J53" s="4" t="s">
        <v>367</v>
      </c>
      <c r="K53" s="4">
        <v>1950</v>
      </c>
      <c r="L53" s="4" t="s">
        <v>97</v>
      </c>
      <c r="M53" s="4">
        <f t="shared" si="1"/>
        <v>12</v>
      </c>
      <c r="N53" s="4" t="b">
        <f t="shared" si="0"/>
        <v>0</v>
      </c>
    </row>
    <row r="54" spans="1:14" x14ac:dyDescent="0.2">
      <c r="A54" s="4" t="s">
        <v>466</v>
      </c>
      <c r="B54" s="4" t="s">
        <v>360</v>
      </c>
      <c r="C54" s="4" t="s">
        <v>361</v>
      </c>
      <c r="D54" s="4" t="s">
        <v>362</v>
      </c>
      <c r="E54" s="4" t="s">
        <v>363</v>
      </c>
      <c r="F54" s="4" t="s">
        <v>364</v>
      </c>
      <c r="G54" s="4" t="s">
        <v>365</v>
      </c>
      <c r="H54" s="4" t="s">
        <v>360</v>
      </c>
      <c r="I54" s="4" t="s">
        <v>467</v>
      </c>
      <c r="J54" s="4" t="s">
        <v>367</v>
      </c>
      <c r="K54" s="4">
        <v>2000</v>
      </c>
      <c r="L54" s="4" t="s">
        <v>97</v>
      </c>
      <c r="M54" s="4">
        <f t="shared" si="1"/>
        <v>13</v>
      </c>
      <c r="N54" s="4" t="str">
        <f t="shared" si="0"/>
        <v>SELECT</v>
      </c>
    </row>
    <row r="55" spans="1:14" x14ac:dyDescent="0.2">
      <c r="A55" s="4" t="s">
        <v>468</v>
      </c>
      <c r="B55" s="4" t="s">
        <v>360</v>
      </c>
      <c r="C55" s="4" t="s">
        <v>361</v>
      </c>
      <c r="D55" s="4" t="s">
        <v>362</v>
      </c>
      <c r="E55" s="4" t="s">
        <v>363</v>
      </c>
      <c r="F55" s="4" t="s">
        <v>364</v>
      </c>
      <c r="G55" s="4" t="s">
        <v>365</v>
      </c>
      <c r="H55" s="4" t="s">
        <v>360</v>
      </c>
      <c r="I55" s="4" t="s">
        <v>469</v>
      </c>
      <c r="J55" s="4" t="s">
        <v>367</v>
      </c>
      <c r="K55" s="4">
        <v>2050</v>
      </c>
      <c r="L55" s="4" t="s">
        <v>97</v>
      </c>
      <c r="M55" s="4">
        <f t="shared" si="1"/>
        <v>13</v>
      </c>
      <c r="N55" s="4" t="b">
        <f t="shared" si="0"/>
        <v>0</v>
      </c>
    </row>
    <row r="56" spans="1:14" x14ac:dyDescent="0.2">
      <c r="A56" s="4" t="s">
        <v>470</v>
      </c>
      <c r="B56" s="4" t="s">
        <v>360</v>
      </c>
      <c r="C56" s="4" t="s">
        <v>361</v>
      </c>
      <c r="D56" s="4" t="s">
        <v>362</v>
      </c>
      <c r="E56" s="4" t="s">
        <v>363</v>
      </c>
      <c r="F56" s="4" t="s">
        <v>364</v>
      </c>
      <c r="G56" s="4" t="s">
        <v>365</v>
      </c>
      <c r="H56" s="4" t="s">
        <v>360</v>
      </c>
      <c r="I56" s="4" t="s">
        <v>471</v>
      </c>
      <c r="J56" s="4" t="s">
        <v>367</v>
      </c>
      <c r="K56" s="4">
        <v>2100</v>
      </c>
      <c r="L56" s="4" t="s">
        <v>97</v>
      </c>
      <c r="M56" s="4">
        <f t="shared" si="1"/>
        <v>13</v>
      </c>
      <c r="N56" s="4" t="b">
        <f t="shared" si="0"/>
        <v>0</v>
      </c>
    </row>
    <row r="57" spans="1:14" x14ac:dyDescent="0.2">
      <c r="A57" s="4" t="s">
        <v>472</v>
      </c>
      <c r="B57" s="4" t="s">
        <v>360</v>
      </c>
      <c r="C57" s="4" t="s">
        <v>361</v>
      </c>
      <c r="D57" s="4" t="s">
        <v>362</v>
      </c>
      <c r="E57" s="4" t="s">
        <v>363</v>
      </c>
      <c r="F57" s="4" t="s">
        <v>364</v>
      </c>
      <c r="G57" s="4" t="s">
        <v>365</v>
      </c>
      <c r="H57" s="4" t="s">
        <v>360</v>
      </c>
      <c r="I57" s="4" t="s">
        <v>473</v>
      </c>
      <c r="J57" s="4" t="s">
        <v>367</v>
      </c>
      <c r="K57" s="4">
        <v>2150</v>
      </c>
      <c r="L57" s="4" t="s">
        <v>97</v>
      </c>
      <c r="M57" s="4">
        <f t="shared" si="1"/>
        <v>14</v>
      </c>
      <c r="N57" s="4" t="b">
        <f t="shared" si="0"/>
        <v>0</v>
      </c>
    </row>
    <row r="58" spans="1:14" x14ac:dyDescent="0.2">
      <c r="A58" s="4" t="s">
        <v>474</v>
      </c>
      <c r="B58" s="4" t="s">
        <v>360</v>
      </c>
      <c r="C58" s="4" t="s">
        <v>361</v>
      </c>
      <c r="D58" s="4" t="s">
        <v>362</v>
      </c>
      <c r="E58" s="4" t="s">
        <v>363</v>
      </c>
      <c r="F58" s="4" t="s">
        <v>364</v>
      </c>
      <c r="G58" s="4" t="s">
        <v>365</v>
      </c>
      <c r="H58" s="4" t="s">
        <v>360</v>
      </c>
      <c r="I58" s="4" t="s">
        <v>475</v>
      </c>
      <c r="J58" s="4" t="s">
        <v>367</v>
      </c>
      <c r="K58" s="4">
        <v>2200</v>
      </c>
      <c r="L58" s="4" t="s">
        <v>97</v>
      </c>
      <c r="M58" s="4">
        <f t="shared" si="1"/>
        <v>14</v>
      </c>
      <c r="N58" s="4" t="b">
        <f t="shared" si="0"/>
        <v>0</v>
      </c>
    </row>
    <row r="59" spans="1:14" x14ac:dyDescent="0.2">
      <c r="A59" s="4" t="s">
        <v>476</v>
      </c>
      <c r="B59" s="4" t="s">
        <v>360</v>
      </c>
      <c r="C59" s="4" t="s">
        <v>361</v>
      </c>
      <c r="D59" s="4" t="s">
        <v>362</v>
      </c>
      <c r="E59" s="4" t="s">
        <v>363</v>
      </c>
      <c r="F59" s="4" t="s">
        <v>364</v>
      </c>
      <c r="G59" s="4" t="s">
        <v>365</v>
      </c>
      <c r="H59" s="4" t="s">
        <v>360</v>
      </c>
      <c r="I59" s="4" t="s">
        <v>477</v>
      </c>
      <c r="J59" s="4" t="s">
        <v>367</v>
      </c>
      <c r="K59" s="4">
        <v>2250</v>
      </c>
      <c r="L59" s="4" t="s">
        <v>97</v>
      </c>
      <c r="M59" s="4">
        <f t="shared" si="1"/>
        <v>14</v>
      </c>
      <c r="N59" s="4" t="b">
        <f t="shared" si="0"/>
        <v>0</v>
      </c>
    </row>
    <row r="60" spans="1:14" x14ac:dyDescent="0.2">
      <c r="A60" s="4" t="s">
        <v>478</v>
      </c>
      <c r="B60" s="4" t="s">
        <v>360</v>
      </c>
      <c r="C60" s="4" t="s">
        <v>361</v>
      </c>
      <c r="D60" s="4" t="s">
        <v>362</v>
      </c>
      <c r="E60" s="4" t="s">
        <v>363</v>
      </c>
      <c r="F60" s="4" t="s">
        <v>364</v>
      </c>
      <c r="G60" s="4" t="s">
        <v>365</v>
      </c>
      <c r="H60" s="4" t="s">
        <v>360</v>
      </c>
      <c r="I60" s="4" t="s">
        <v>479</v>
      </c>
      <c r="J60" s="4" t="s">
        <v>367</v>
      </c>
      <c r="K60" s="4">
        <v>2300</v>
      </c>
      <c r="L60" s="4" t="s">
        <v>97</v>
      </c>
      <c r="M60" s="4">
        <f t="shared" si="1"/>
        <v>15</v>
      </c>
      <c r="N60" s="4" t="b">
        <f t="shared" si="0"/>
        <v>0</v>
      </c>
    </row>
    <row r="61" spans="1:14" x14ac:dyDescent="0.2">
      <c r="A61" s="4" t="s">
        <v>480</v>
      </c>
      <c r="B61" s="4" t="s">
        <v>360</v>
      </c>
      <c r="C61" s="4" t="s">
        <v>361</v>
      </c>
      <c r="D61" s="4" t="s">
        <v>362</v>
      </c>
      <c r="E61" s="4" t="s">
        <v>363</v>
      </c>
      <c r="F61" s="4" t="s">
        <v>364</v>
      </c>
      <c r="G61" s="4" t="s">
        <v>365</v>
      </c>
      <c r="H61" s="4" t="s">
        <v>360</v>
      </c>
      <c r="I61" s="4" t="s">
        <v>481</v>
      </c>
      <c r="J61" s="4" t="s">
        <v>367</v>
      </c>
      <c r="K61" s="4">
        <v>2350</v>
      </c>
      <c r="L61" s="4" t="s">
        <v>97</v>
      </c>
      <c r="M61" s="4">
        <f t="shared" si="1"/>
        <v>15</v>
      </c>
      <c r="N61" s="4" t="b">
        <f t="shared" si="0"/>
        <v>0</v>
      </c>
    </row>
    <row r="62" spans="1:14" x14ac:dyDescent="0.2">
      <c r="A62" s="4" t="s">
        <v>482</v>
      </c>
      <c r="B62" s="4" t="s">
        <v>360</v>
      </c>
      <c r="C62" s="4" t="s">
        <v>361</v>
      </c>
      <c r="D62" s="4" t="s">
        <v>362</v>
      </c>
      <c r="E62" s="4" t="s">
        <v>363</v>
      </c>
      <c r="F62" s="4" t="s">
        <v>364</v>
      </c>
      <c r="G62" s="4" t="s">
        <v>365</v>
      </c>
      <c r="H62" s="4" t="s">
        <v>360</v>
      </c>
      <c r="I62" s="4" t="s">
        <v>481</v>
      </c>
      <c r="J62" s="4" t="s">
        <v>367</v>
      </c>
      <c r="K62" s="4">
        <v>2400</v>
      </c>
      <c r="L62" s="4" t="s">
        <v>97</v>
      </c>
      <c r="M62" s="4">
        <f t="shared" si="1"/>
        <v>15</v>
      </c>
      <c r="N62" s="4" t="b">
        <f t="shared" si="0"/>
        <v>0</v>
      </c>
    </row>
    <row r="63" spans="1:14" x14ac:dyDescent="0.2">
      <c r="A63" s="4" t="s">
        <v>483</v>
      </c>
      <c r="B63" s="4" t="s">
        <v>360</v>
      </c>
      <c r="C63" s="4" t="s">
        <v>361</v>
      </c>
      <c r="D63" s="4" t="s">
        <v>362</v>
      </c>
      <c r="E63" s="4" t="s">
        <v>363</v>
      </c>
      <c r="F63" s="4" t="s">
        <v>364</v>
      </c>
      <c r="G63" s="4" t="s">
        <v>365</v>
      </c>
      <c r="H63" s="4" t="s">
        <v>360</v>
      </c>
      <c r="I63" s="4" t="s">
        <v>481</v>
      </c>
      <c r="J63" s="4" t="s">
        <v>367</v>
      </c>
      <c r="K63" s="4">
        <v>2450</v>
      </c>
      <c r="L63" s="4" t="s">
        <v>97</v>
      </c>
      <c r="M63" s="4">
        <f t="shared" si="1"/>
        <v>15</v>
      </c>
      <c r="N63" s="4" t="b">
        <f t="shared" si="0"/>
        <v>0</v>
      </c>
    </row>
    <row r="64" spans="1:14" x14ac:dyDescent="0.2">
      <c r="A64" s="4" t="s">
        <v>484</v>
      </c>
      <c r="B64" s="4" t="s">
        <v>360</v>
      </c>
      <c r="C64" s="4" t="s">
        <v>361</v>
      </c>
      <c r="D64" s="4" t="s">
        <v>362</v>
      </c>
      <c r="E64" s="4" t="s">
        <v>363</v>
      </c>
      <c r="F64" s="4" t="s">
        <v>364</v>
      </c>
      <c r="G64" s="4" t="s">
        <v>365</v>
      </c>
      <c r="H64" s="4" t="s">
        <v>360</v>
      </c>
      <c r="I64" s="4" t="s">
        <v>481</v>
      </c>
      <c r="J64" s="4" t="s">
        <v>367</v>
      </c>
      <c r="K64" s="4">
        <v>2500</v>
      </c>
      <c r="L64" s="4" t="s">
        <v>97</v>
      </c>
      <c r="M64" s="4">
        <f t="shared" si="1"/>
        <v>15</v>
      </c>
      <c r="N64" s="4" t="b">
        <f t="shared" si="0"/>
        <v>0</v>
      </c>
    </row>
  </sheetData>
  <phoneticPr fontId="51" type="noConversion"/>
  <pageMargins left="0.25" right="0.25" top="0.75" bottom="0.65" header="0.3" footer="0.3"/>
  <pageSetup orientation="portrait" r:id="rId1"/>
  <headerFooter scaleWithDoc="0">
    <oddFooter xml:space="preserve">&amp;L&amp;"Arial"&amp;8 80-NH713-1 YG
&amp;C&amp;"Arial"&amp;8Confidential – Qualcomm Technologies, Inc. and/or its affiliated companies – May Contain Trade Secrets
&amp;"Arial,Bold"&amp;8MAY CONTAIN U.S. AND INTERNATIONAL EXPORT CONTROLLED INFORMATION&amp;R&amp;"Arial"&amp;8 &amp;P
</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pageSetUpPr fitToPage="1"/>
  </sheetPr>
  <dimension ref="A1:S64"/>
  <sheetViews>
    <sheetView workbookViewId="0"/>
  </sheetViews>
  <sheetFormatPr defaultColWidth="9.140625" defaultRowHeight="12.75" x14ac:dyDescent="0.2"/>
  <cols>
    <col min="1" max="1" width="14.28515625" bestFit="1" customWidth="1"/>
    <col min="2" max="2" width="3.140625" bestFit="1" customWidth="1"/>
    <col min="3" max="3" width="21" bestFit="1" customWidth="1"/>
    <col min="4" max="4" width="2" bestFit="1" customWidth="1"/>
    <col min="5" max="5" width="28.42578125" bestFit="1" customWidth="1"/>
    <col min="6" max="6" width="2" bestFit="1" customWidth="1"/>
    <col min="7" max="7" width="25" bestFit="1" customWidth="1"/>
    <col min="8" max="8" width="1.5703125" bestFit="1" customWidth="1"/>
    <col min="9" max="9" width="10.7109375" bestFit="1" customWidth="1"/>
    <col min="10" max="10" width="2.7109375" bestFit="1" customWidth="1"/>
    <col min="11" max="11" width="5" bestFit="1" customWidth="1"/>
    <col min="12" max="12" width="5.85546875" bestFit="1" customWidth="1"/>
    <col min="13" max="13" width="45.42578125" style="4" customWidth="1"/>
  </cols>
  <sheetData>
    <row r="1" spans="1:19" x14ac:dyDescent="0.2">
      <c r="M1" s="4" t="s">
        <v>486</v>
      </c>
      <c r="O1" s="4" t="s">
        <v>358</v>
      </c>
      <c r="P1" s="112">
        <f>'SDM439 DPHY timing'!B3</f>
        <v>2010</v>
      </c>
      <c r="Q1" s="4"/>
      <c r="R1" s="4" t="s">
        <v>485</v>
      </c>
      <c r="S1" s="4">
        <f>LOOKUP("SELECT",N2:N64,M2:M64)</f>
        <v>0</v>
      </c>
    </row>
    <row r="2" spans="1:19" x14ac:dyDescent="0.2">
      <c r="A2" t="s">
        <v>359</v>
      </c>
      <c r="B2" t="s">
        <v>360</v>
      </c>
      <c r="C2" t="s">
        <v>487</v>
      </c>
      <c r="D2" t="s">
        <v>362</v>
      </c>
      <c r="E2" t="s">
        <v>488</v>
      </c>
      <c r="F2" t="s">
        <v>364</v>
      </c>
      <c r="G2" t="s">
        <v>489</v>
      </c>
      <c r="H2" t="s">
        <v>360</v>
      </c>
      <c r="I2" t="s">
        <v>490</v>
      </c>
      <c r="J2" t="s">
        <v>367</v>
      </c>
      <c r="K2">
        <v>80</v>
      </c>
      <c r="L2" t="s">
        <v>97</v>
      </c>
      <c r="M2" s="4">
        <f>IF(_xlfn.NUMBERVALUE(MID(I2,5,1))=1,8,0)+_xlfn.NUMBERVALUE(MID(I2,10,1))</f>
        <v>13</v>
      </c>
      <c r="N2" s="4" t="b">
        <f>IF($P$1&gt;=K2,IF($P$1&lt;K3,"SELECT"))</f>
        <v>0</v>
      </c>
    </row>
    <row r="3" spans="1:19" x14ac:dyDescent="0.2">
      <c r="A3" t="s">
        <v>368</v>
      </c>
      <c r="B3" t="s">
        <v>360</v>
      </c>
      <c r="C3" t="s">
        <v>487</v>
      </c>
      <c r="D3" t="s">
        <v>362</v>
      </c>
      <c r="E3" t="s">
        <v>488</v>
      </c>
      <c r="F3" t="s">
        <v>364</v>
      </c>
      <c r="G3" t="s">
        <v>489</v>
      </c>
      <c r="H3" t="s">
        <v>360</v>
      </c>
      <c r="I3" t="s">
        <v>491</v>
      </c>
      <c r="J3" t="s">
        <v>367</v>
      </c>
      <c r="K3">
        <v>90</v>
      </c>
      <c r="L3" t="s">
        <v>97</v>
      </c>
      <c r="M3" s="4">
        <f t="shared" ref="M3:M64" si="0">IF(_xlfn.NUMBERVALUE(MID(I3,5,1))=1,8,0)+_xlfn.NUMBERVALUE(MID(I3,10,1))</f>
        <v>14</v>
      </c>
      <c r="N3" s="4" t="b">
        <f t="shared" ref="N3:N64" si="1">IF($P$1&gt;=K3,IF($P$1&lt;K4,"SELECT"))</f>
        <v>0</v>
      </c>
    </row>
    <row r="4" spans="1:19" x14ac:dyDescent="0.2">
      <c r="A4" t="s">
        <v>370</v>
      </c>
      <c r="B4" t="s">
        <v>360</v>
      </c>
      <c r="C4" t="s">
        <v>487</v>
      </c>
      <c r="D4" t="s">
        <v>362</v>
      </c>
      <c r="E4" t="s">
        <v>488</v>
      </c>
      <c r="F4" t="s">
        <v>364</v>
      </c>
      <c r="G4" t="s">
        <v>489</v>
      </c>
      <c r="H4" t="s">
        <v>360</v>
      </c>
      <c r="I4" t="s">
        <v>491</v>
      </c>
      <c r="J4" t="s">
        <v>367</v>
      </c>
      <c r="K4">
        <v>100</v>
      </c>
      <c r="L4" t="s">
        <v>97</v>
      </c>
      <c r="M4" s="4">
        <f t="shared" si="0"/>
        <v>14</v>
      </c>
      <c r="N4" s="4" t="b">
        <f t="shared" si="1"/>
        <v>0</v>
      </c>
    </row>
    <row r="5" spans="1:19" x14ac:dyDescent="0.2">
      <c r="A5" t="s">
        <v>371</v>
      </c>
      <c r="B5" t="s">
        <v>360</v>
      </c>
      <c r="C5" t="s">
        <v>487</v>
      </c>
      <c r="D5" t="s">
        <v>362</v>
      </c>
      <c r="E5" t="s">
        <v>488</v>
      </c>
      <c r="F5" t="s">
        <v>364</v>
      </c>
      <c r="G5" t="s">
        <v>489</v>
      </c>
      <c r="H5" t="s">
        <v>360</v>
      </c>
      <c r="I5" t="s">
        <v>492</v>
      </c>
      <c r="J5" t="s">
        <v>367</v>
      </c>
      <c r="K5">
        <v>110</v>
      </c>
      <c r="L5" t="s">
        <v>97</v>
      </c>
      <c r="M5" s="4">
        <f t="shared" si="0"/>
        <v>15</v>
      </c>
      <c r="N5" s="4" t="b">
        <f t="shared" si="1"/>
        <v>0</v>
      </c>
    </row>
    <row r="6" spans="1:19" x14ac:dyDescent="0.2">
      <c r="A6" t="s">
        <v>373</v>
      </c>
      <c r="B6" t="s">
        <v>360</v>
      </c>
      <c r="C6" t="s">
        <v>487</v>
      </c>
      <c r="D6" t="s">
        <v>362</v>
      </c>
      <c r="E6" t="s">
        <v>488</v>
      </c>
      <c r="F6" t="s">
        <v>364</v>
      </c>
      <c r="G6" t="s">
        <v>489</v>
      </c>
      <c r="H6" t="s">
        <v>360</v>
      </c>
      <c r="I6" t="s">
        <v>493</v>
      </c>
      <c r="J6" t="s">
        <v>367</v>
      </c>
      <c r="K6">
        <v>120</v>
      </c>
      <c r="L6" t="s">
        <v>97</v>
      </c>
      <c r="M6" s="4">
        <f t="shared" si="0"/>
        <v>8</v>
      </c>
      <c r="N6" s="4" t="b">
        <f t="shared" si="1"/>
        <v>0</v>
      </c>
    </row>
    <row r="7" spans="1:19" x14ac:dyDescent="0.2">
      <c r="A7" t="s">
        <v>375</v>
      </c>
      <c r="B7" t="s">
        <v>360</v>
      </c>
      <c r="C7" t="s">
        <v>487</v>
      </c>
      <c r="D7" t="s">
        <v>362</v>
      </c>
      <c r="E7" t="s">
        <v>488</v>
      </c>
      <c r="F7" t="s">
        <v>364</v>
      </c>
      <c r="G7" t="s">
        <v>489</v>
      </c>
      <c r="H7" t="s">
        <v>360</v>
      </c>
      <c r="I7" t="s">
        <v>494</v>
      </c>
      <c r="J7" t="s">
        <v>367</v>
      </c>
      <c r="K7">
        <v>130</v>
      </c>
      <c r="L7" t="s">
        <v>97</v>
      </c>
      <c r="M7" s="4">
        <f t="shared" si="0"/>
        <v>9</v>
      </c>
      <c r="N7" s="4" t="b">
        <f t="shared" si="1"/>
        <v>0</v>
      </c>
    </row>
    <row r="8" spans="1:19" x14ac:dyDescent="0.2">
      <c r="A8" t="s">
        <v>376</v>
      </c>
      <c r="B8" t="s">
        <v>360</v>
      </c>
      <c r="C8" t="s">
        <v>487</v>
      </c>
      <c r="D8" t="s">
        <v>362</v>
      </c>
      <c r="E8" t="s">
        <v>488</v>
      </c>
      <c r="F8" t="s">
        <v>364</v>
      </c>
      <c r="G8" t="s">
        <v>489</v>
      </c>
      <c r="H8" t="s">
        <v>360</v>
      </c>
      <c r="I8" t="s">
        <v>495</v>
      </c>
      <c r="J8" t="s">
        <v>367</v>
      </c>
      <c r="K8">
        <v>140</v>
      </c>
      <c r="L8" t="s">
        <v>97</v>
      </c>
      <c r="M8" s="4">
        <f t="shared" si="0"/>
        <v>10</v>
      </c>
      <c r="N8" s="4" t="b">
        <f t="shared" si="1"/>
        <v>0</v>
      </c>
    </row>
    <row r="9" spans="1:19" x14ac:dyDescent="0.2">
      <c r="A9" t="s">
        <v>378</v>
      </c>
      <c r="B9" t="s">
        <v>360</v>
      </c>
      <c r="C9" t="s">
        <v>487</v>
      </c>
      <c r="D9" t="s">
        <v>362</v>
      </c>
      <c r="E9" t="s">
        <v>488</v>
      </c>
      <c r="F9" t="s">
        <v>364</v>
      </c>
      <c r="G9" t="s">
        <v>489</v>
      </c>
      <c r="H9" t="s">
        <v>360</v>
      </c>
      <c r="I9" t="s">
        <v>495</v>
      </c>
      <c r="J9" t="s">
        <v>367</v>
      </c>
      <c r="K9">
        <v>150</v>
      </c>
      <c r="L9" t="s">
        <v>97</v>
      </c>
      <c r="M9" s="4">
        <f t="shared" si="0"/>
        <v>10</v>
      </c>
      <c r="N9" s="4" t="b">
        <f t="shared" si="1"/>
        <v>0</v>
      </c>
    </row>
    <row r="10" spans="1:19" x14ac:dyDescent="0.2">
      <c r="A10" t="s">
        <v>380</v>
      </c>
      <c r="B10" t="s">
        <v>360</v>
      </c>
      <c r="C10" t="s">
        <v>487</v>
      </c>
      <c r="D10" t="s">
        <v>362</v>
      </c>
      <c r="E10" t="s">
        <v>488</v>
      </c>
      <c r="F10" t="s">
        <v>364</v>
      </c>
      <c r="G10" t="s">
        <v>489</v>
      </c>
      <c r="H10" t="s">
        <v>360</v>
      </c>
      <c r="I10" t="s">
        <v>496</v>
      </c>
      <c r="J10" t="s">
        <v>367</v>
      </c>
      <c r="K10">
        <v>160</v>
      </c>
      <c r="L10" t="s">
        <v>97</v>
      </c>
      <c r="M10" s="4">
        <f t="shared" si="0"/>
        <v>11</v>
      </c>
      <c r="N10" s="4" t="b">
        <f t="shared" si="1"/>
        <v>0</v>
      </c>
    </row>
    <row r="11" spans="1:19" x14ac:dyDescent="0.2">
      <c r="A11" t="s">
        <v>381</v>
      </c>
      <c r="B11" t="s">
        <v>360</v>
      </c>
      <c r="C11" t="s">
        <v>487</v>
      </c>
      <c r="D11" t="s">
        <v>362</v>
      </c>
      <c r="E11" t="s">
        <v>488</v>
      </c>
      <c r="F11" t="s">
        <v>364</v>
      </c>
      <c r="G11" t="s">
        <v>489</v>
      </c>
      <c r="H11" t="s">
        <v>360</v>
      </c>
      <c r="I11" t="s">
        <v>497</v>
      </c>
      <c r="J11" t="s">
        <v>367</v>
      </c>
      <c r="K11">
        <v>170</v>
      </c>
      <c r="L11" t="s">
        <v>97</v>
      </c>
      <c r="M11" s="4">
        <f t="shared" si="0"/>
        <v>12</v>
      </c>
      <c r="N11" s="4" t="b">
        <f t="shared" si="1"/>
        <v>0</v>
      </c>
    </row>
    <row r="12" spans="1:19" x14ac:dyDescent="0.2">
      <c r="A12" t="s">
        <v>383</v>
      </c>
      <c r="B12" t="s">
        <v>360</v>
      </c>
      <c r="C12" t="s">
        <v>487</v>
      </c>
      <c r="D12" t="s">
        <v>362</v>
      </c>
      <c r="E12" t="s">
        <v>488</v>
      </c>
      <c r="F12" t="s">
        <v>364</v>
      </c>
      <c r="G12" t="s">
        <v>489</v>
      </c>
      <c r="H12" t="s">
        <v>360</v>
      </c>
      <c r="I12" t="s">
        <v>490</v>
      </c>
      <c r="J12" t="s">
        <v>367</v>
      </c>
      <c r="K12">
        <v>180</v>
      </c>
      <c r="L12" t="s">
        <v>97</v>
      </c>
      <c r="M12" s="4">
        <f t="shared" si="0"/>
        <v>13</v>
      </c>
      <c r="N12" s="4" t="b">
        <f t="shared" si="1"/>
        <v>0</v>
      </c>
    </row>
    <row r="13" spans="1:19" x14ac:dyDescent="0.2">
      <c r="A13" t="s">
        <v>384</v>
      </c>
      <c r="B13" t="s">
        <v>360</v>
      </c>
      <c r="C13" t="s">
        <v>487</v>
      </c>
      <c r="D13" t="s">
        <v>362</v>
      </c>
      <c r="E13" t="s">
        <v>488</v>
      </c>
      <c r="F13" t="s">
        <v>364</v>
      </c>
      <c r="G13" t="s">
        <v>489</v>
      </c>
      <c r="H13" t="s">
        <v>360</v>
      </c>
      <c r="I13" t="s">
        <v>490</v>
      </c>
      <c r="J13" t="s">
        <v>367</v>
      </c>
      <c r="K13">
        <v>190</v>
      </c>
      <c r="L13" t="s">
        <v>97</v>
      </c>
      <c r="M13" s="4">
        <f t="shared" si="0"/>
        <v>13</v>
      </c>
      <c r="N13" s="4" t="b">
        <f t="shared" si="1"/>
        <v>0</v>
      </c>
    </row>
    <row r="14" spans="1:19" x14ac:dyDescent="0.2">
      <c r="A14" t="s">
        <v>386</v>
      </c>
      <c r="B14" t="s">
        <v>360</v>
      </c>
      <c r="C14" t="s">
        <v>487</v>
      </c>
      <c r="D14" t="s">
        <v>362</v>
      </c>
      <c r="E14" t="s">
        <v>488</v>
      </c>
      <c r="F14" t="s">
        <v>364</v>
      </c>
      <c r="G14" t="s">
        <v>489</v>
      </c>
      <c r="H14" t="s">
        <v>360</v>
      </c>
      <c r="I14" t="s">
        <v>491</v>
      </c>
      <c r="J14" t="s">
        <v>367</v>
      </c>
      <c r="K14">
        <v>205</v>
      </c>
      <c r="L14" t="s">
        <v>97</v>
      </c>
      <c r="M14" s="4">
        <f t="shared" si="0"/>
        <v>14</v>
      </c>
      <c r="N14" s="4" t="b">
        <f t="shared" si="1"/>
        <v>0</v>
      </c>
    </row>
    <row r="15" spans="1:19" x14ac:dyDescent="0.2">
      <c r="A15" t="s">
        <v>388</v>
      </c>
      <c r="B15" t="s">
        <v>360</v>
      </c>
      <c r="C15" t="s">
        <v>487</v>
      </c>
      <c r="D15" t="s">
        <v>362</v>
      </c>
      <c r="E15" t="s">
        <v>488</v>
      </c>
      <c r="F15" t="s">
        <v>364</v>
      </c>
      <c r="G15" t="s">
        <v>489</v>
      </c>
      <c r="H15" t="s">
        <v>360</v>
      </c>
      <c r="I15" t="s">
        <v>493</v>
      </c>
      <c r="J15" t="s">
        <v>367</v>
      </c>
      <c r="K15">
        <v>220</v>
      </c>
      <c r="L15" t="s">
        <v>97</v>
      </c>
      <c r="M15" s="4">
        <f t="shared" si="0"/>
        <v>8</v>
      </c>
      <c r="N15" s="4" t="b">
        <f t="shared" si="1"/>
        <v>0</v>
      </c>
    </row>
    <row r="16" spans="1:19" x14ac:dyDescent="0.2">
      <c r="A16" t="s">
        <v>390</v>
      </c>
      <c r="B16" t="s">
        <v>360</v>
      </c>
      <c r="C16" t="s">
        <v>487</v>
      </c>
      <c r="D16" t="s">
        <v>362</v>
      </c>
      <c r="E16" t="s">
        <v>488</v>
      </c>
      <c r="F16" t="s">
        <v>364</v>
      </c>
      <c r="G16" t="s">
        <v>489</v>
      </c>
      <c r="H16" t="s">
        <v>360</v>
      </c>
      <c r="I16" t="s">
        <v>493</v>
      </c>
      <c r="J16" t="s">
        <v>367</v>
      </c>
      <c r="K16">
        <v>235</v>
      </c>
      <c r="L16" t="s">
        <v>97</v>
      </c>
      <c r="M16" s="4">
        <f t="shared" si="0"/>
        <v>8</v>
      </c>
      <c r="N16" s="4" t="b">
        <f t="shared" si="1"/>
        <v>0</v>
      </c>
    </row>
    <row r="17" spans="1:14" x14ac:dyDescent="0.2">
      <c r="A17" t="s">
        <v>392</v>
      </c>
      <c r="B17" t="s">
        <v>360</v>
      </c>
      <c r="C17" t="s">
        <v>487</v>
      </c>
      <c r="D17" t="s">
        <v>362</v>
      </c>
      <c r="E17" t="s">
        <v>488</v>
      </c>
      <c r="F17" t="s">
        <v>364</v>
      </c>
      <c r="G17" t="s">
        <v>489</v>
      </c>
      <c r="H17" t="s">
        <v>360</v>
      </c>
      <c r="I17" t="s">
        <v>495</v>
      </c>
      <c r="J17" t="s">
        <v>367</v>
      </c>
      <c r="K17">
        <v>250</v>
      </c>
      <c r="L17" t="s">
        <v>97</v>
      </c>
      <c r="M17" s="4">
        <f t="shared" si="0"/>
        <v>10</v>
      </c>
      <c r="N17" s="4" t="b">
        <f t="shared" si="1"/>
        <v>0</v>
      </c>
    </row>
    <row r="18" spans="1:14" x14ac:dyDescent="0.2">
      <c r="A18" t="s">
        <v>394</v>
      </c>
      <c r="B18" t="s">
        <v>360</v>
      </c>
      <c r="C18" t="s">
        <v>487</v>
      </c>
      <c r="D18" t="s">
        <v>362</v>
      </c>
      <c r="E18" t="s">
        <v>488</v>
      </c>
      <c r="F18" t="s">
        <v>364</v>
      </c>
      <c r="G18" t="s">
        <v>489</v>
      </c>
      <c r="H18" t="s">
        <v>360</v>
      </c>
      <c r="I18" t="s">
        <v>497</v>
      </c>
      <c r="J18" t="s">
        <v>367</v>
      </c>
      <c r="K18">
        <v>275</v>
      </c>
      <c r="L18" t="s">
        <v>97</v>
      </c>
      <c r="M18" s="4">
        <f t="shared" si="0"/>
        <v>12</v>
      </c>
      <c r="N18" s="4" t="b">
        <f t="shared" si="1"/>
        <v>0</v>
      </c>
    </row>
    <row r="19" spans="1:14" x14ac:dyDescent="0.2">
      <c r="A19" t="s">
        <v>396</v>
      </c>
      <c r="B19" t="s">
        <v>360</v>
      </c>
      <c r="C19" t="s">
        <v>487</v>
      </c>
      <c r="D19" t="s">
        <v>362</v>
      </c>
      <c r="E19" t="s">
        <v>488</v>
      </c>
      <c r="F19" t="s">
        <v>364</v>
      </c>
      <c r="G19" t="s">
        <v>489</v>
      </c>
      <c r="H19" t="s">
        <v>360</v>
      </c>
      <c r="I19" t="s">
        <v>491</v>
      </c>
      <c r="J19" t="s">
        <v>367</v>
      </c>
      <c r="K19">
        <v>300</v>
      </c>
      <c r="L19" t="s">
        <v>97</v>
      </c>
      <c r="M19" s="4">
        <f t="shared" si="0"/>
        <v>14</v>
      </c>
      <c r="N19" s="4" t="b">
        <f t="shared" si="1"/>
        <v>0</v>
      </c>
    </row>
    <row r="20" spans="1:14" x14ac:dyDescent="0.2">
      <c r="A20" t="s">
        <v>398</v>
      </c>
      <c r="B20" t="s">
        <v>360</v>
      </c>
      <c r="C20" t="s">
        <v>487</v>
      </c>
      <c r="D20" t="s">
        <v>362</v>
      </c>
      <c r="E20" t="s">
        <v>488</v>
      </c>
      <c r="F20" t="s">
        <v>364</v>
      </c>
      <c r="G20" t="s">
        <v>489</v>
      </c>
      <c r="H20" t="s">
        <v>360</v>
      </c>
      <c r="I20" t="s">
        <v>493</v>
      </c>
      <c r="J20" t="s">
        <v>367</v>
      </c>
      <c r="K20">
        <v>325</v>
      </c>
      <c r="L20" t="s">
        <v>97</v>
      </c>
      <c r="M20" s="4">
        <f t="shared" si="0"/>
        <v>8</v>
      </c>
      <c r="N20" s="4" t="b">
        <f t="shared" si="1"/>
        <v>0</v>
      </c>
    </row>
    <row r="21" spans="1:14" x14ac:dyDescent="0.2">
      <c r="A21" t="s">
        <v>400</v>
      </c>
      <c r="B21" t="s">
        <v>360</v>
      </c>
      <c r="C21" t="s">
        <v>487</v>
      </c>
      <c r="D21" t="s">
        <v>362</v>
      </c>
      <c r="E21" t="s">
        <v>488</v>
      </c>
      <c r="F21" t="s">
        <v>364</v>
      </c>
      <c r="G21" t="s">
        <v>489</v>
      </c>
      <c r="H21" t="s">
        <v>360</v>
      </c>
      <c r="I21" t="s">
        <v>495</v>
      </c>
      <c r="J21" t="s">
        <v>367</v>
      </c>
      <c r="K21">
        <v>350</v>
      </c>
      <c r="L21" t="s">
        <v>97</v>
      </c>
      <c r="M21" s="4">
        <f t="shared" si="0"/>
        <v>10</v>
      </c>
      <c r="N21" s="4" t="b">
        <f t="shared" si="1"/>
        <v>0</v>
      </c>
    </row>
    <row r="22" spans="1:14" x14ac:dyDescent="0.2">
      <c r="A22" t="s">
        <v>402</v>
      </c>
      <c r="B22" t="s">
        <v>360</v>
      </c>
      <c r="C22" t="s">
        <v>487</v>
      </c>
      <c r="D22" t="s">
        <v>362</v>
      </c>
      <c r="E22" t="s">
        <v>488</v>
      </c>
      <c r="F22" t="s">
        <v>364</v>
      </c>
      <c r="G22" t="s">
        <v>489</v>
      </c>
      <c r="H22" t="s">
        <v>360</v>
      </c>
      <c r="I22" t="s">
        <v>493</v>
      </c>
      <c r="J22" t="s">
        <v>367</v>
      </c>
      <c r="K22">
        <v>400</v>
      </c>
      <c r="L22" t="s">
        <v>97</v>
      </c>
      <c r="M22" s="4">
        <f t="shared" si="0"/>
        <v>8</v>
      </c>
      <c r="N22" s="4" t="b">
        <f t="shared" si="1"/>
        <v>0</v>
      </c>
    </row>
    <row r="23" spans="1:14" x14ac:dyDescent="0.2">
      <c r="A23" t="s">
        <v>404</v>
      </c>
      <c r="B23" t="s">
        <v>360</v>
      </c>
      <c r="C23" t="s">
        <v>487</v>
      </c>
      <c r="D23" t="s">
        <v>362</v>
      </c>
      <c r="E23" t="s">
        <v>488</v>
      </c>
      <c r="F23" t="s">
        <v>364</v>
      </c>
      <c r="G23" t="s">
        <v>489</v>
      </c>
      <c r="H23" t="s">
        <v>360</v>
      </c>
      <c r="I23" t="s">
        <v>498</v>
      </c>
      <c r="J23" t="s">
        <v>367</v>
      </c>
      <c r="K23">
        <v>450</v>
      </c>
      <c r="L23" t="s">
        <v>97</v>
      </c>
      <c r="M23" s="4">
        <f t="shared" si="0"/>
        <v>0</v>
      </c>
      <c r="N23" s="4" t="b">
        <f t="shared" si="1"/>
        <v>0</v>
      </c>
    </row>
    <row r="24" spans="1:14" x14ac:dyDescent="0.2">
      <c r="A24" t="s">
        <v>406</v>
      </c>
      <c r="B24" t="s">
        <v>360</v>
      </c>
      <c r="C24" t="s">
        <v>487</v>
      </c>
      <c r="D24" t="s">
        <v>362</v>
      </c>
      <c r="E24" t="s">
        <v>488</v>
      </c>
      <c r="F24" t="s">
        <v>364</v>
      </c>
      <c r="G24" t="s">
        <v>489</v>
      </c>
      <c r="H24" t="s">
        <v>360</v>
      </c>
      <c r="I24" t="s">
        <v>498</v>
      </c>
      <c r="J24" t="s">
        <v>367</v>
      </c>
      <c r="K24">
        <v>500</v>
      </c>
      <c r="L24" t="s">
        <v>97</v>
      </c>
      <c r="M24" s="4">
        <f t="shared" si="0"/>
        <v>0</v>
      </c>
      <c r="N24" s="4" t="b">
        <f t="shared" si="1"/>
        <v>0</v>
      </c>
    </row>
    <row r="25" spans="1:14" x14ac:dyDescent="0.2">
      <c r="A25" t="s">
        <v>408</v>
      </c>
      <c r="B25" t="s">
        <v>360</v>
      </c>
      <c r="C25" t="s">
        <v>487</v>
      </c>
      <c r="D25" t="s">
        <v>362</v>
      </c>
      <c r="E25" t="s">
        <v>488</v>
      </c>
      <c r="F25" t="s">
        <v>364</v>
      </c>
      <c r="G25" t="s">
        <v>489</v>
      </c>
      <c r="H25" t="s">
        <v>360</v>
      </c>
      <c r="I25" t="s">
        <v>498</v>
      </c>
      <c r="J25" t="s">
        <v>367</v>
      </c>
      <c r="K25">
        <v>550</v>
      </c>
      <c r="L25" t="s">
        <v>97</v>
      </c>
      <c r="M25" s="4">
        <f t="shared" si="0"/>
        <v>0</v>
      </c>
      <c r="N25" s="4" t="b">
        <f t="shared" si="1"/>
        <v>0</v>
      </c>
    </row>
    <row r="26" spans="1:14" x14ac:dyDescent="0.2">
      <c r="A26" t="s">
        <v>410</v>
      </c>
      <c r="B26" t="s">
        <v>360</v>
      </c>
      <c r="C26" t="s">
        <v>487</v>
      </c>
      <c r="D26" t="s">
        <v>362</v>
      </c>
      <c r="E26" t="s">
        <v>488</v>
      </c>
      <c r="F26" t="s">
        <v>364</v>
      </c>
      <c r="G26" t="s">
        <v>489</v>
      </c>
      <c r="H26" t="s">
        <v>360</v>
      </c>
      <c r="I26" t="s">
        <v>498</v>
      </c>
      <c r="J26" t="s">
        <v>367</v>
      </c>
      <c r="K26">
        <v>600</v>
      </c>
      <c r="L26" t="s">
        <v>97</v>
      </c>
      <c r="M26" s="4">
        <f t="shared" si="0"/>
        <v>0</v>
      </c>
      <c r="N26" s="4" t="b">
        <f t="shared" si="1"/>
        <v>0</v>
      </c>
    </row>
    <row r="27" spans="1:14" x14ac:dyDescent="0.2">
      <c r="A27" t="s">
        <v>412</v>
      </c>
      <c r="B27" t="s">
        <v>360</v>
      </c>
      <c r="C27" t="s">
        <v>487</v>
      </c>
      <c r="D27" t="s">
        <v>362</v>
      </c>
      <c r="E27" t="s">
        <v>488</v>
      </c>
      <c r="F27" t="s">
        <v>364</v>
      </c>
      <c r="G27" t="s">
        <v>489</v>
      </c>
      <c r="H27" t="s">
        <v>360</v>
      </c>
      <c r="I27" t="s">
        <v>498</v>
      </c>
      <c r="J27" t="s">
        <v>367</v>
      </c>
      <c r="K27">
        <v>650</v>
      </c>
      <c r="L27" t="s">
        <v>97</v>
      </c>
      <c r="M27" s="4">
        <f t="shared" si="0"/>
        <v>0</v>
      </c>
      <c r="N27" s="4" t="b">
        <f t="shared" si="1"/>
        <v>0</v>
      </c>
    </row>
    <row r="28" spans="1:14" x14ac:dyDescent="0.2">
      <c r="A28" t="s">
        <v>414</v>
      </c>
      <c r="B28" t="s">
        <v>360</v>
      </c>
      <c r="C28" t="s">
        <v>487</v>
      </c>
      <c r="D28" t="s">
        <v>362</v>
      </c>
      <c r="E28" t="s">
        <v>488</v>
      </c>
      <c r="F28" t="s">
        <v>364</v>
      </c>
      <c r="G28" t="s">
        <v>489</v>
      </c>
      <c r="H28" t="s">
        <v>360</v>
      </c>
      <c r="I28" t="s">
        <v>498</v>
      </c>
      <c r="J28" t="s">
        <v>367</v>
      </c>
      <c r="K28">
        <v>700</v>
      </c>
      <c r="L28" t="s">
        <v>97</v>
      </c>
      <c r="M28" s="4">
        <f t="shared" si="0"/>
        <v>0</v>
      </c>
      <c r="N28" s="4" t="b">
        <f t="shared" si="1"/>
        <v>0</v>
      </c>
    </row>
    <row r="29" spans="1:14" x14ac:dyDescent="0.2">
      <c r="A29" t="s">
        <v>416</v>
      </c>
      <c r="B29" t="s">
        <v>360</v>
      </c>
      <c r="C29" t="s">
        <v>487</v>
      </c>
      <c r="D29" t="s">
        <v>362</v>
      </c>
      <c r="E29" t="s">
        <v>488</v>
      </c>
      <c r="F29" t="s">
        <v>364</v>
      </c>
      <c r="G29" t="s">
        <v>489</v>
      </c>
      <c r="H29" t="s">
        <v>360</v>
      </c>
      <c r="I29" t="s">
        <v>498</v>
      </c>
      <c r="J29" t="s">
        <v>367</v>
      </c>
      <c r="K29">
        <v>750</v>
      </c>
      <c r="L29" t="s">
        <v>97</v>
      </c>
      <c r="M29" s="4">
        <f t="shared" si="0"/>
        <v>0</v>
      </c>
      <c r="N29" s="4" t="b">
        <f t="shared" si="1"/>
        <v>0</v>
      </c>
    </row>
    <row r="30" spans="1:14" x14ac:dyDescent="0.2">
      <c r="A30" t="s">
        <v>418</v>
      </c>
      <c r="B30" t="s">
        <v>360</v>
      </c>
      <c r="C30" t="s">
        <v>487</v>
      </c>
      <c r="D30" t="s">
        <v>362</v>
      </c>
      <c r="E30" t="s">
        <v>488</v>
      </c>
      <c r="F30" t="s">
        <v>364</v>
      </c>
      <c r="G30" t="s">
        <v>489</v>
      </c>
      <c r="H30" t="s">
        <v>360</v>
      </c>
      <c r="I30" t="s">
        <v>498</v>
      </c>
      <c r="J30" t="s">
        <v>367</v>
      </c>
      <c r="K30">
        <v>800</v>
      </c>
      <c r="L30" t="s">
        <v>97</v>
      </c>
      <c r="M30" s="4">
        <f t="shared" si="0"/>
        <v>0</v>
      </c>
      <c r="N30" s="4" t="b">
        <f t="shared" si="1"/>
        <v>0</v>
      </c>
    </row>
    <row r="31" spans="1:14" x14ac:dyDescent="0.2">
      <c r="A31" t="s">
        <v>420</v>
      </c>
      <c r="B31" t="s">
        <v>360</v>
      </c>
      <c r="C31" t="s">
        <v>487</v>
      </c>
      <c r="D31" t="s">
        <v>362</v>
      </c>
      <c r="E31" t="s">
        <v>488</v>
      </c>
      <c r="F31" t="s">
        <v>364</v>
      </c>
      <c r="G31" t="s">
        <v>489</v>
      </c>
      <c r="H31" t="s">
        <v>360</v>
      </c>
      <c r="I31" t="s">
        <v>498</v>
      </c>
      <c r="J31" t="s">
        <v>367</v>
      </c>
      <c r="K31">
        <v>850</v>
      </c>
      <c r="L31" t="s">
        <v>97</v>
      </c>
      <c r="M31" s="4">
        <f t="shared" si="0"/>
        <v>0</v>
      </c>
      <c r="N31" s="4" t="b">
        <f t="shared" si="1"/>
        <v>0</v>
      </c>
    </row>
    <row r="32" spans="1:14" x14ac:dyDescent="0.2">
      <c r="A32" t="s">
        <v>422</v>
      </c>
      <c r="B32" t="s">
        <v>360</v>
      </c>
      <c r="C32" t="s">
        <v>487</v>
      </c>
      <c r="D32" t="s">
        <v>362</v>
      </c>
      <c r="E32" t="s">
        <v>488</v>
      </c>
      <c r="F32" t="s">
        <v>364</v>
      </c>
      <c r="G32" t="s">
        <v>489</v>
      </c>
      <c r="H32" t="s">
        <v>360</v>
      </c>
      <c r="I32" t="s">
        <v>498</v>
      </c>
      <c r="J32" t="s">
        <v>367</v>
      </c>
      <c r="K32">
        <v>900</v>
      </c>
      <c r="L32" t="s">
        <v>97</v>
      </c>
      <c r="M32" s="4">
        <f t="shared" si="0"/>
        <v>0</v>
      </c>
      <c r="N32" s="4" t="b">
        <f t="shared" si="1"/>
        <v>0</v>
      </c>
    </row>
    <row r="33" spans="1:14" x14ac:dyDescent="0.2">
      <c r="A33" t="s">
        <v>424</v>
      </c>
      <c r="B33" t="s">
        <v>360</v>
      </c>
      <c r="C33" t="s">
        <v>487</v>
      </c>
      <c r="D33" t="s">
        <v>362</v>
      </c>
      <c r="E33" t="s">
        <v>488</v>
      </c>
      <c r="F33" t="s">
        <v>364</v>
      </c>
      <c r="G33" t="s">
        <v>489</v>
      </c>
      <c r="H33" t="s">
        <v>360</v>
      </c>
      <c r="I33" t="s">
        <v>498</v>
      </c>
      <c r="J33" t="s">
        <v>367</v>
      </c>
      <c r="K33">
        <v>950</v>
      </c>
      <c r="L33" t="s">
        <v>97</v>
      </c>
      <c r="M33" s="4">
        <f t="shared" si="0"/>
        <v>0</v>
      </c>
      <c r="N33" s="4" t="b">
        <f t="shared" si="1"/>
        <v>0</v>
      </c>
    </row>
    <row r="34" spans="1:14" x14ac:dyDescent="0.2">
      <c r="A34" t="s">
        <v>426</v>
      </c>
      <c r="B34" t="s">
        <v>360</v>
      </c>
      <c r="C34" t="s">
        <v>487</v>
      </c>
      <c r="D34" t="s">
        <v>362</v>
      </c>
      <c r="E34" t="s">
        <v>488</v>
      </c>
      <c r="F34" t="s">
        <v>364</v>
      </c>
      <c r="G34" t="s">
        <v>489</v>
      </c>
      <c r="H34" t="s">
        <v>360</v>
      </c>
      <c r="I34" t="s">
        <v>498</v>
      </c>
      <c r="J34" t="s">
        <v>367</v>
      </c>
      <c r="K34">
        <v>1000</v>
      </c>
      <c r="L34" t="s">
        <v>97</v>
      </c>
      <c r="M34" s="4">
        <f t="shared" si="0"/>
        <v>0</v>
      </c>
      <c r="N34" s="4" t="b">
        <f t="shared" si="1"/>
        <v>0</v>
      </c>
    </row>
    <row r="35" spans="1:14" x14ac:dyDescent="0.2">
      <c r="A35" t="s">
        <v>428</v>
      </c>
      <c r="B35" t="s">
        <v>360</v>
      </c>
      <c r="C35" t="s">
        <v>487</v>
      </c>
      <c r="D35" t="s">
        <v>362</v>
      </c>
      <c r="E35" t="s">
        <v>488</v>
      </c>
      <c r="F35" t="s">
        <v>364</v>
      </c>
      <c r="G35" t="s">
        <v>489</v>
      </c>
      <c r="H35" t="s">
        <v>360</v>
      </c>
      <c r="I35" t="s">
        <v>498</v>
      </c>
      <c r="J35" t="s">
        <v>367</v>
      </c>
      <c r="K35">
        <v>1050</v>
      </c>
      <c r="L35" t="s">
        <v>97</v>
      </c>
      <c r="M35" s="4">
        <f t="shared" si="0"/>
        <v>0</v>
      </c>
      <c r="N35" s="4" t="b">
        <f t="shared" si="1"/>
        <v>0</v>
      </c>
    </row>
    <row r="36" spans="1:14" x14ac:dyDescent="0.2">
      <c r="A36" t="s">
        <v>430</v>
      </c>
      <c r="B36" t="s">
        <v>360</v>
      </c>
      <c r="C36" t="s">
        <v>487</v>
      </c>
      <c r="D36" t="s">
        <v>362</v>
      </c>
      <c r="E36" t="s">
        <v>488</v>
      </c>
      <c r="F36" t="s">
        <v>364</v>
      </c>
      <c r="G36" t="s">
        <v>489</v>
      </c>
      <c r="H36" t="s">
        <v>360</v>
      </c>
      <c r="I36" t="s">
        <v>498</v>
      </c>
      <c r="J36" t="s">
        <v>367</v>
      </c>
      <c r="K36">
        <v>1100</v>
      </c>
      <c r="L36" t="s">
        <v>97</v>
      </c>
      <c r="M36" s="4">
        <f t="shared" si="0"/>
        <v>0</v>
      </c>
      <c r="N36" s="4" t="b">
        <f t="shared" si="1"/>
        <v>0</v>
      </c>
    </row>
    <row r="37" spans="1:14" x14ac:dyDescent="0.2">
      <c r="A37" t="s">
        <v>432</v>
      </c>
      <c r="B37" t="s">
        <v>360</v>
      </c>
      <c r="C37" t="s">
        <v>487</v>
      </c>
      <c r="D37" t="s">
        <v>362</v>
      </c>
      <c r="E37" t="s">
        <v>488</v>
      </c>
      <c r="F37" t="s">
        <v>364</v>
      </c>
      <c r="G37" t="s">
        <v>489</v>
      </c>
      <c r="H37" t="s">
        <v>360</v>
      </c>
      <c r="I37" t="s">
        <v>498</v>
      </c>
      <c r="J37" t="s">
        <v>367</v>
      </c>
      <c r="K37">
        <v>1150</v>
      </c>
      <c r="L37" t="s">
        <v>97</v>
      </c>
      <c r="M37" s="4">
        <f t="shared" si="0"/>
        <v>0</v>
      </c>
      <c r="N37" s="4" t="b">
        <f t="shared" si="1"/>
        <v>0</v>
      </c>
    </row>
    <row r="38" spans="1:14" x14ac:dyDescent="0.2">
      <c r="A38" t="s">
        <v>434</v>
      </c>
      <c r="B38" t="s">
        <v>360</v>
      </c>
      <c r="C38" t="s">
        <v>487</v>
      </c>
      <c r="D38" t="s">
        <v>362</v>
      </c>
      <c r="E38" t="s">
        <v>488</v>
      </c>
      <c r="F38" t="s">
        <v>364</v>
      </c>
      <c r="G38" t="s">
        <v>489</v>
      </c>
      <c r="H38" t="s">
        <v>360</v>
      </c>
      <c r="I38" t="s">
        <v>498</v>
      </c>
      <c r="J38" t="s">
        <v>367</v>
      </c>
      <c r="K38">
        <v>1200</v>
      </c>
      <c r="L38" t="s">
        <v>97</v>
      </c>
      <c r="M38" s="4">
        <f t="shared" si="0"/>
        <v>0</v>
      </c>
      <c r="N38" s="4" t="b">
        <f t="shared" si="1"/>
        <v>0</v>
      </c>
    </row>
    <row r="39" spans="1:14" x14ac:dyDescent="0.2">
      <c r="A39" t="s">
        <v>436</v>
      </c>
      <c r="B39" t="s">
        <v>360</v>
      </c>
      <c r="C39" t="s">
        <v>487</v>
      </c>
      <c r="D39" t="s">
        <v>362</v>
      </c>
      <c r="E39" t="s">
        <v>488</v>
      </c>
      <c r="F39" t="s">
        <v>364</v>
      </c>
      <c r="G39" t="s">
        <v>489</v>
      </c>
      <c r="H39" t="s">
        <v>360</v>
      </c>
      <c r="I39" t="s">
        <v>498</v>
      </c>
      <c r="J39" t="s">
        <v>367</v>
      </c>
      <c r="K39">
        <v>1250</v>
      </c>
      <c r="L39" t="s">
        <v>97</v>
      </c>
      <c r="M39" s="4">
        <f t="shared" si="0"/>
        <v>0</v>
      </c>
      <c r="N39" s="4" t="b">
        <f t="shared" si="1"/>
        <v>0</v>
      </c>
    </row>
    <row r="40" spans="1:14" x14ac:dyDescent="0.2">
      <c r="A40" t="s">
        <v>438</v>
      </c>
      <c r="B40" t="s">
        <v>360</v>
      </c>
      <c r="C40" t="s">
        <v>487</v>
      </c>
      <c r="D40" t="s">
        <v>362</v>
      </c>
      <c r="E40" t="s">
        <v>488</v>
      </c>
      <c r="F40" t="s">
        <v>364</v>
      </c>
      <c r="G40" t="s">
        <v>489</v>
      </c>
      <c r="H40" t="s">
        <v>360</v>
      </c>
      <c r="I40" t="s">
        <v>498</v>
      </c>
      <c r="J40" t="s">
        <v>367</v>
      </c>
      <c r="K40">
        <v>1300</v>
      </c>
      <c r="L40" t="s">
        <v>97</v>
      </c>
      <c r="M40" s="4">
        <f t="shared" si="0"/>
        <v>0</v>
      </c>
      <c r="N40" s="4" t="b">
        <f t="shared" si="1"/>
        <v>0</v>
      </c>
    </row>
    <row r="41" spans="1:14" x14ac:dyDescent="0.2">
      <c r="A41" t="s">
        <v>440</v>
      </c>
      <c r="B41" t="s">
        <v>360</v>
      </c>
      <c r="C41" t="s">
        <v>487</v>
      </c>
      <c r="D41" t="s">
        <v>362</v>
      </c>
      <c r="E41" t="s">
        <v>488</v>
      </c>
      <c r="F41" t="s">
        <v>364</v>
      </c>
      <c r="G41" t="s">
        <v>489</v>
      </c>
      <c r="H41" t="s">
        <v>360</v>
      </c>
      <c r="I41" t="s">
        <v>498</v>
      </c>
      <c r="J41" t="s">
        <v>367</v>
      </c>
      <c r="K41">
        <v>1350</v>
      </c>
      <c r="L41" t="s">
        <v>97</v>
      </c>
      <c r="M41" s="4">
        <f t="shared" si="0"/>
        <v>0</v>
      </c>
      <c r="N41" s="4" t="b">
        <f t="shared" si="1"/>
        <v>0</v>
      </c>
    </row>
    <row r="42" spans="1:14" x14ac:dyDescent="0.2">
      <c r="A42" t="s">
        <v>442</v>
      </c>
      <c r="B42" t="s">
        <v>360</v>
      </c>
      <c r="C42" t="s">
        <v>487</v>
      </c>
      <c r="D42" t="s">
        <v>362</v>
      </c>
      <c r="E42" t="s">
        <v>488</v>
      </c>
      <c r="F42" t="s">
        <v>364</v>
      </c>
      <c r="G42" t="s">
        <v>489</v>
      </c>
      <c r="H42" t="s">
        <v>360</v>
      </c>
      <c r="I42" t="s">
        <v>498</v>
      </c>
      <c r="J42" t="s">
        <v>367</v>
      </c>
      <c r="K42">
        <v>1400</v>
      </c>
      <c r="L42" t="s">
        <v>97</v>
      </c>
      <c r="M42" s="4">
        <f t="shared" si="0"/>
        <v>0</v>
      </c>
      <c r="N42" s="4" t="b">
        <f t="shared" si="1"/>
        <v>0</v>
      </c>
    </row>
    <row r="43" spans="1:14" x14ac:dyDescent="0.2">
      <c r="A43" t="s">
        <v>444</v>
      </c>
      <c r="B43" t="s">
        <v>360</v>
      </c>
      <c r="C43" t="s">
        <v>487</v>
      </c>
      <c r="D43" t="s">
        <v>362</v>
      </c>
      <c r="E43" t="s">
        <v>488</v>
      </c>
      <c r="F43" t="s">
        <v>364</v>
      </c>
      <c r="G43" t="s">
        <v>489</v>
      </c>
      <c r="H43" t="s">
        <v>360</v>
      </c>
      <c r="I43" t="s">
        <v>498</v>
      </c>
      <c r="J43" t="s">
        <v>367</v>
      </c>
      <c r="K43">
        <v>1450</v>
      </c>
      <c r="L43" t="s">
        <v>97</v>
      </c>
      <c r="M43" s="4">
        <f t="shared" si="0"/>
        <v>0</v>
      </c>
      <c r="N43" s="4" t="b">
        <f t="shared" si="1"/>
        <v>0</v>
      </c>
    </row>
    <row r="44" spans="1:14" x14ac:dyDescent="0.2">
      <c r="A44" t="s">
        <v>446</v>
      </c>
      <c r="B44" t="s">
        <v>360</v>
      </c>
      <c r="C44" t="s">
        <v>487</v>
      </c>
      <c r="D44" t="s">
        <v>362</v>
      </c>
      <c r="E44" t="s">
        <v>488</v>
      </c>
      <c r="F44" t="s">
        <v>364</v>
      </c>
      <c r="G44" t="s">
        <v>489</v>
      </c>
      <c r="H44" t="s">
        <v>360</v>
      </c>
      <c r="I44" t="s">
        <v>498</v>
      </c>
      <c r="J44" t="s">
        <v>367</v>
      </c>
      <c r="K44">
        <v>1500</v>
      </c>
      <c r="L44" t="s">
        <v>97</v>
      </c>
      <c r="M44" s="4">
        <f t="shared" si="0"/>
        <v>0</v>
      </c>
      <c r="N44" s="4" t="b">
        <f t="shared" si="1"/>
        <v>0</v>
      </c>
    </row>
    <row r="45" spans="1:14" x14ac:dyDescent="0.2">
      <c r="A45" t="s">
        <v>448</v>
      </c>
      <c r="B45" t="s">
        <v>360</v>
      </c>
      <c r="C45" t="s">
        <v>487</v>
      </c>
      <c r="D45" t="s">
        <v>362</v>
      </c>
      <c r="E45" t="s">
        <v>488</v>
      </c>
      <c r="F45" t="s">
        <v>364</v>
      </c>
      <c r="G45" t="s">
        <v>489</v>
      </c>
      <c r="H45" t="s">
        <v>360</v>
      </c>
      <c r="I45" t="s">
        <v>498</v>
      </c>
      <c r="J45" t="s">
        <v>367</v>
      </c>
      <c r="K45">
        <v>1550</v>
      </c>
      <c r="L45" t="s">
        <v>97</v>
      </c>
      <c r="M45" s="4">
        <f t="shared" si="0"/>
        <v>0</v>
      </c>
      <c r="N45" s="4" t="b">
        <f t="shared" si="1"/>
        <v>0</v>
      </c>
    </row>
    <row r="46" spans="1:14" x14ac:dyDescent="0.2">
      <c r="A46" t="s">
        <v>450</v>
      </c>
      <c r="B46" t="s">
        <v>360</v>
      </c>
      <c r="C46" t="s">
        <v>487</v>
      </c>
      <c r="D46" t="s">
        <v>362</v>
      </c>
      <c r="E46" t="s">
        <v>488</v>
      </c>
      <c r="F46" t="s">
        <v>364</v>
      </c>
      <c r="G46" t="s">
        <v>489</v>
      </c>
      <c r="H46" t="s">
        <v>360</v>
      </c>
      <c r="I46" t="s">
        <v>498</v>
      </c>
      <c r="J46" t="s">
        <v>367</v>
      </c>
      <c r="K46">
        <v>1600</v>
      </c>
      <c r="L46" t="s">
        <v>97</v>
      </c>
      <c r="M46" s="4">
        <f t="shared" si="0"/>
        <v>0</v>
      </c>
      <c r="N46" s="4" t="b">
        <f t="shared" si="1"/>
        <v>0</v>
      </c>
    </row>
    <row r="47" spans="1:14" x14ac:dyDescent="0.2">
      <c r="A47" t="s">
        <v>452</v>
      </c>
      <c r="B47" t="s">
        <v>360</v>
      </c>
      <c r="C47" t="s">
        <v>487</v>
      </c>
      <c r="D47" t="s">
        <v>362</v>
      </c>
      <c r="E47" t="s">
        <v>488</v>
      </c>
      <c r="F47" t="s">
        <v>364</v>
      </c>
      <c r="G47" t="s">
        <v>489</v>
      </c>
      <c r="H47" t="s">
        <v>360</v>
      </c>
      <c r="I47" t="s">
        <v>498</v>
      </c>
      <c r="J47" t="s">
        <v>367</v>
      </c>
      <c r="K47">
        <v>1650</v>
      </c>
      <c r="L47" t="s">
        <v>97</v>
      </c>
      <c r="M47" s="4">
        <f t="shared" si="0"/>
        <v>0</v>
      </c>
      <c r="N47" s="4" t="b">
        <f t="shared" si="1"/>
        <v>0</v>
      </c>
    </row>
    <row r="48" spans="1:14" x14ac:dyDescent="0.2">
      <c r="A48" t="s">
        <v>454</v>
      </c>
      <c r="B48" t="s">
        <v>360</v>
      </c>
      <c r="C48" t="s">
        <v>487</v>
      </c>
      <c r="D48" t="s">
        <v>362</v>
      </c>
      <c r="E48" t="s">
        <v>488</v>
      </c>
      <c r="F48" t="s">
        <v>364</v>
      </c>
      <c r="G48" t="s">
        <v>489</v>
      </c>
      <c r="H48" t="s">
        <v>360</v>
      </c>
      <c r="I48" t="s">
        <v>498</v>
      </c>
      <c r="J48" t="s">
        <v>367</v>
      </c>
      <c r="K48">
        <v>1700</v>
      </c>
      <c r="L48" t="s">
        <v>97</v>
      </c>
      <c r="M48" s="4">
        <f t="shared" si="0"/>
        <v>0</v>
      </c>
      <c r="N48" s="4" t="b">
        <f t="shared" si="1"/>
        <v>0</v>
      </c>
    </row>
    <row r="49" spans="1:14" x14ac:dyDescent="0.2">
      <c r="A49" t="s">
        <v>456</v>
      </c>
      <c r="B49" t="s">
        <v>360</v>
      </c>
      <c r="C49" t="s">
        <v>487</v>
      </c>
      <c r="D49" t="s">
        <v>362</v>
      </c>
      <c r="E49" t="s">
        <v>488</v>
      </c>
      <c r="F49" t="s">
        <v>364</v>
      </c>
      <c r="G49" t="s">
        <v>489</v>
      </c>
      <c r="H49" t="s">
        <v>360</v>
      </c>
      <c r="I49" t="s">
        <v>498</v>
      </c>
      <c r="J49" t="s">
        <v>367</v>
      </c>
      <c r="K49">
        <v>1750</v>
      </c>
      <c r="L49" t="s">
        <v>97</v>
      </c>
      <c r="M49" s="4">
        <f t="shared" si="0"/>
        <v>0</v>
      </c>
      <c r="N49" s="4" t="b">
        <f t="shared" si="1"/>
        <v>0</v>
      </c>
    </row>
    <row r="50" spans="1:14" x14ac:dyDescent="0.2">
      <c r="A50" t="s">
        <v>458</v>
      </c>
      <c r="B50" t="s">
        <v>360</v>
      </c>
      <c r="C50" t="s">
        <v>487</v>
      </c>
      <c r="D50" t="s">
        <v>362</v>
      </c>
      <c r="E50" t="s">
        <v>488</v>
      </c>
      <c r="F50" t="s">
        <v>364</v>
      </c>
      <c r="G50" t="s">
        <v>489</v>
      </c>
      <c r="H50" t="s">
        <v>360</v>
      </c>
      <c r="I50" t="s">
        <v>498</v>
      </c>
      <c r="J50" t="s">
        <v>367</v>
      </c>
      <c r="K50">
        <v>1800</v>
      </c>
      <c r="L50" t="s">
        <v>97</v>
      </c>
      <c r="M50" s="4">
        <f t="shared" si="0"/>
        <v>0</v>
      </c>
      <c r="N50" s="4" t="b">
        <f t="shared" si="1"/>
        <v>0</v>
      </c>
    </row>
    <row r="51" spans="1:14" x14ac:dyDescent="0.2">
      <c r="A51" t="s">
        <v>460</v>
      </c>
      <c r="B51" t="s">
        <v>360</v>
      </c>
      <c r="C51" t="s">
        <v>487</v>
      </c>
      <c r="D51" t="s">
        <v>362</v>
      </c>
      <c r="E51" t="s">
        <v>488</v>
      </c>
      <c r="F51" t="s">
        <v>364</v>
      </c>
      <c r="G51" t="s">
        <v>489</v>
      </c>
      <c r="H51" t="s">
        <v>360</v>
      </c>
      <c r="I51" t="s">
        <v>498</v>
      </c>
      <c r="J51" t="s">
        <v>367</v>
      </c>
      <c r="K51">
        <v>1850</v>
      </c>
      <c r="L51" t="s">
        <v>97</v>
      </c>
      <c r="M51" s="4">
        <f t="shared" si="0"/>
        <v>0</v>
      </c>
      <c r="N51" s="4" t="b">
        <f t="shared" si="1"/>
        <v>0</v>
      </c>
    </row>
    <row r="52" spans="1:14" x14ac:dyDescent="0.2">
      <c r="A52" t="s">
        <v>462</v>
      </c>
      <c r="B52" t="s">
        <v>360</v>
      </c>
      <c r="C52" t="s">
        <v>487</v>
      </c>
      <c r="D52" t="s">
        <v>362</v>
      </c>
      <c r="E52" t="s">
        <v>488</v>
      </c>
      <c r="F52" t="s">
        <v>364</v>
      </c>
      <c r="G52" t="s">
        <v>489</v>
      </c>
      <c r="H52" t="s">
        <v>360</v>
      </c>
      <c r="I52" t="s">
        <v>498</v>
      </c>
      <c r="J52" t="s">
        <v>367</v>
      </c>
      <c r="K52">
        <v>1900</v>
      </c>
      <c r="L52" t="s">
        <v>97</v>
      </c>
      <c r="M52" s="4">
        <f t="shared" si="0"/>
        <v>0</v>
      </c>
      <c r="N52" s="4" t="b">
        <f t="shared" si="1"/>
        <v>0</v>
      </c>
    </row>
    <row r="53" spans="1:14" x14ac:dyDescent="0.2">
      <c r="A53" t="s">
        <v>464</v>
      </c>
      <c r="B53" t="s">
        <v>360</v>
      </c>
      <c r="C53" t="s">
        <v>487</v>
      </c>
      <c r="D53" t="s">
        <v>362</v>
      </c>
      <c r="E53" t="s">
        <v>488</v>
      </c>
      <c r="F53" t="s">
        <v>364</v>
      </c>
      <c r="G53" t="s">
        <v>489</v>
      </c>
      <c r="H53" t="s">
        <v>360</v>
      </c>
      <c r="I53" t="s">
        <v>498</v>
      </c>
      <c r="J53" t="s">
        <v>367</v>
      </c>
      <c r="K53">
        <v>1950</v>
      </c>
      <c r="L53" t="s">
        <v>97</v>
      </c>
      <c r="M53" s="4">
        <f t="shared" si="0"/>
        <v>0</v>
      </c>
      <c r="N53" s="4" t="b">
        <f t="shared" si="1"/>
        <v>0</v>
      </c>
    </row>
    <row r="54" spans="1:14" x14ac:dyDescent="0.2">
      <c r="A54" t="s">
        <v>466</v>
      </c>
      <c r="B54" t="s">
        <v>360</v>
      </c>
      <c r="C54" t="s">
        <v>487</v>
      </c>
      <c r="D54" t="s">
        <v>362</v>
      </c>
      <c r="E54" t="s">
        <v>488</v>
      </c>
      <c r="F54" t="s">
        <v>364</v>
      </c>
      <c r="G54" t="s">
        <v>489</v>
      </c>
      <c r="H54" t="s">
        <v>360</v>
      </c>
      <c r="I54" t="s">
        <v>498</v>
      </c>
      <c r="J54" t="s">
        <v>367</v>
      </c>
      <c r="K54">
        <v>2000</v>
      </c>
      <c r="L54" t="s">
        <v>97</v>
      </c>
      <c r="M54" s="4">
        <f t="shared" si="0"/>
        <v>0</v>
      </c>
      <c r="N54" s="4" t="str">
        <f t="shared" si="1"/>
        <v>SELECT</v>
      </c>
    </row>
    <row r="55" spans="1:14" x14ac:dyDescent="0.2">
      <c r="A55" t="s">
        <v>468</v>
      </c>
      <c r="B55" t="s">
        <v>360</v>
      </c>
      <c r="C55" t="s">
        <v>487</v>
      </c>
      <c r="D55" t="s">
        <v>362</v>
      </c>
      <c r="E55" t="s">
        <v>488</v>
      </c>
      <c r="F55" t="s">
        <v>364</v>
      </c>
      <c r="G55" t="s">
        <v>489</v>
      </c>
      <c r="H55" t="s">
        <v>360</v>
      </c>
      <c r="I55" t="s">
        <v>498</v>
      </c>
      <c r="J55" t="s">
        <v>367</v>
      </c>
      <c r="K55">
        <v>2050</v>
      </c>
      <c r="L55" t="s">
        <v>97</v>
      </c>
      <c r="M55" s="4">
        <f t="shared" si="0"/>
        <v>0</v>
      </c>
      <c r="N55" s="4" t="b">
        <f t="shared" si="1"/>
        <v>0</v>
      </c>
    </row>
    <row r="56" spans="1:14" x14ac:dyDescent="0.2">
      <c r="A56" t="s">
        <v>470</v>
      </c>
      <c r="B56" t="s">
        <v>360</v>
      </c>
      <c r="C56" t="s">
        <v>487</v>
      </c>
      <c r="D56" t="s">
        <v>362</v>
      </c>
      <c r="E56" t="s">
        <v>488</v>
      </c>
      <c r="F56" t="s">
        <v>364</v>
      </c>
      <c r="G56" t="s">
        <v>489</v>
      </c>
      <c r="H56" t="s">
        <v>360</v>
      </c>
      <c r="I56" t="s">
        <v>498</v>
      </c>
      <c r="J56" t="s">
        <v>367</v>
      </c>
      <c r="K56">
        <v>2100</v>
      </c>
      <c r="L56" t="s">
        <v>97</v>
      </c>
      <c r="M56" s="4">
        <f t="shared" si="0"/>
        <v>0</v>
      </c>
      <c r="N56" s="4" t="b">
        <f t="shared" si="1"/>
        <v>0</v>
      </c>
    </row>
    <row r="57" spans="1:14" x14ac:dyDescent="0.2">
      <c r="A57" t="s">
        <v>472</v>
      </c>
      <c r="B57" t="s">
        <v>360</v>
      </c>
      <c r="C57" t="s">
        <v>487</v>
      </c>
      <c r="D57" t="s">
        <v>362</v>
      </c>
      <c r="E57" t="s">
        <v>488</v>
      </c>
      <c r="F57" t="s">
        <v>364</v>
      </c>
      <c r="G57" t="s">
        <v>489</v>
      </c>
      <c r="H57" t="s">
        <v>360</v>
      </c>
      <c r="I57" t="s">
        <v>498</v>
      </c>
      <c r="J57" t="s">
        <v>367</v>
      </c>
      <c r="K57">
        <v>2150</v>
      </c>
      <c r="L57" t="s">
        <v>97</v>
      </c>
      <c r="M57" s="4">
        <f t="shared" si="0"/>
        <v>0</v>
      </c>
      <c r="N57" s="4" t="b">
        <f t="shared" si="1"/>
        <v>0</v>
      </c>
    </row>
    <row r="58" spans="1:14" x14ac:dyDescent="0.2">
      <c r="A58" t="s">
        <v>474</v>
      </c>
      <c r="B58" t="s">
        <v>360</v>
      </c>
      <c r="C58" t="s">
        <v>487</v>
      </c>
      <c r="D58" t="s">
        <v>362</v>
      </c>
      <c r="E58" t="s">
        <v>488</v>
      </c>
      <c r="F58" t="s">
        <v>364</v>
      </c>
      <c r="G58" t="s">
        <v>489</v>
      </c>
      <c r="H58" t="s">
        <v>360</v>
      </c>
      <c r="I58" t="s">
        <v>498</v>
      </c>
      <c r="J58" t="s">
        <v>367</v>
      </c>
      <c r="K58">
        <v>2200</v>
      </c>
      <c r="L58" t="s">
        <v>97</v>
      </c>
      <c r="M58" s="4">
        <f t="shared" si="0"/>
        <v>0</v>
      </c>
      <c r="N58" s="4" t="b">
        <f t="shared" si="1"/>
        <v>0</v>
      </c>
    </row>
    <row r="59" spans="1:14" x14ac:dyDescent="0.2">
      <c r="A59" t="s">
        <v>476</v>
      </c>
      <c r="B59" t="s">
        <v>360</v>
      </c>
      <c r="C59" t="s">
        <v>487</v>
      </c>
      <c r="D59" t="s">
        <v>362</v>
      </c>
      <c r="E59" t="s">
        <v>488</v>
      </c>
      <c r="F59" t="s">
        <v>364</v>
      </c>
      <c r="G59" t="s">
        <v>489</v>
      </c>
      <c r="H59" t="s">
        <v>360</v>
      </c>
      <c r="I59" t="s">
        <v>498</v>
      </c>
      <c r="J59" t="s">
        <v>367</v>
      </c>
      <c r="K59">
        <v>2250</v>
      </c>
      <c r="L59" t="s">
        <v>97</v>
      </c>
      <c r="M59" s="4">
        <f t="shared" si="0"/>
        <v>0</v>
      </c>
      <c r="N59" s="4" t="b">
        <f t="shared" si="1"/>
        <v>0</v>
      </c>
    </row>
    <row r="60" spans="1:14" x14ac:dyDescent="0.2">
      <c r="A60" t="s">
        <v>478</v>
      </c>
      <c r="B60" t="s">
        <v>360</v>
      </c>
      <c r="C60" t="s">
        <v>487</v>
      </c>
      <c r="D60" t="s">
        <v>362</v>
      </c>
      <c r="E60" t="s">
        <v>488</v>
      </c>
      <c r="F60" t="s">
        <v>364</v>
      </c>
      <c r="G60" t="s">
        <v>489</v>
      </c>
      <c r="H60" t="s">
        <v>360</v>
      </c>
      <c r="I60" t="s">
        <v>498</v>
      </c>
      <c r="J60" t="s">
        <v>367</v>
      </c>
      <c r="K60">
        <v>2300</v>
      </c>
      <c r="L60" t="s">
        <v>97</v>
      </c>
      <c r="M60" s="4">
        <f t="shared" si="0"/>
        <v>0</v>
      </c>
      <c r="N60" s="4" t="b">
        <f t="shared" si="1"/>
        <v>0</v>
      </c>
    </row>
    <row r="61" spans="1:14" x14ac:dyDescent="0.2">
      <c r="A61" t="s">
        <v>480</v>
      </c>
      <c r="B61" t="s">
        <v>360</v>
      </c>
      <c r="C61" t="s">
        <v>487</v>
      </c>
      <c r="D61" t="s">
        <v>362</v>
      </c>
      <c r="E61" t="s">
        <v>488</v>
      </c>
      <c r="F61" t="s">
        <v>364</v>
      </c>
      <c r="G61" t="s">
        <v>489</v>
      </c>
      <c r="H61" t="s">
        <v>360</v>
      </c>
      <c r="I61" t="s">
        <v>498</v>
      </c>
      <c r="J61" t="s">
        <v>367</v>
      </c>
      <c r="K61">
        <v>2350</v>
      </c>
      <c r="L61" t="s">
        <v>97</v>
      </c>
      <c r="M61" s="4">
        <f t="shared" si="0"/>
        <v>0</v>
      </c>
      <c r="N61" s="4" t="b">
        <f t="shared" si="1"/>
        <v>0</v>
      </c>
    </row>
    <row r="62" spans="1:14" x14ac:dyDescent="0.2">
      <c r="A62" t="s">
        <v>482</v>
      </c>
      <c r="B62" t="s">
        <v>360</v>
      </c>
      <c r="C62" t="s">
        <v>487</v>
      </c>
      <c r="D62" t="s">
        <v>362</v>
      </c>
      <c r="E62" t="s">
        <v>488</v>
      </c>
      <c r="F62" t="s">
        <v>364</v>
      </c>
      <c r="G62" t="s">
        <v>489</v>
      </c>
      <c r="H62" t="s">
        <v>360</v>
      </c>
      <c r="I62" t="s">
        <v>498</v>
      </c>
      <c r="J62" t="s">
        <v>367</v>
      </c>
      <c r="K62">
        <v>2400</v>
      </c>
      <c r="L62" t="s">
        <v>97</v>
      </c>
      <c r="M62" s="4">
        <f t="shared" si="0"/>
        <v>0</v>
      </c>
      <c r="N62" s="4" t="b">
        <f t="shared" si="1"/>
        <v>0</v>
      </c>
    </row>
    <row r="63" spans="1:14" x14ac:dyDescent="0.2">
      <c r="A63" t="s">
        <v>483</v>
      </c>
      <c r="B63" t="s">
        <v>360</v>
      </c>
      <c r="C63" t="s">
        <v>487</v>
      </c>
      <c r="D63" t="s">
        <v>362</v>
      </c>
      <c r="E63" t="s">
        <v>488</v>
      </c>
      <c r="F63" t="s">
        <v>364</v>
      </c>
      <c r="G63" t="s">
        <v>489</v>
      </c>
      <c r="H63" t="s">
        <v>360</v>
      </c>
      <c r="I63" t="s">
        <v>498</v>
      </c>
      <c r="J63" t="s">
        <v>367</v>
      </c>
      <c r="K63">
        <v>2450</v>
      </c>
      <c r="L63" t="s">
        <v>97</v>
      </c>
      <c r="M63" s="4">
        <f t="shared" si="0"/>
        <v>0</v>
      </c>
      <c r="N63" s="4" t="b">
        <f t="shared" si="1"/>
        <v>0</v>
      </c>
    </row>
    <row r="64" spans="1:14" x14ac:dyDescent="0.2">
      <c r="A64" t="s">
        <v>484</v>
      </c>
      <c r="B64" t="s">
        <v>360</v>
      </c>
      <c r="C64" t="s">
        <v>487</v>
      </c>
      <c r="D64" t="s">
        <v>362</v>
      </c>
      <c r="E64" t="s">
        <v>488</v>
      </c>
      <c r="F64" t="s">
        <v>364</v>
      </c>
      <c r="G64" t="s">
        <v>489</v>
      </c>
      <c r="H64" t="s">
        <v>360</v>
      </c>
      <c r="I64" t="s">
        <v>498</v>
      </c>
      <c r="J64" t="s">
        <v>367</v>
      </c>
      <c r="K64">
        <v>2500</v>
      </c>
      <c r="L64" t="s">
        <v>97</v>
      </c>
      <c r="M64" s="4">
        <f t="shared" si="0"/>
        <v>0</v>
      </c>
      <c r="N64" s="4" t="b">
        <f t="shared" si="1"/>
        <v>0</v>
      </c>
    </row>
  </sheetData>
  <phoneticPr fontId="51" type="noConversion"/>
  <pageMargins left="0.25" right="0.25" top="0.75" bottom="0.65" header="0.3" footer="0.3"/>
  <headerFooter scaleWithDoc="0">
    <oddFooter xml:space="preserve">&amp;L&amp;"Arial"&amp;8 80-NH713-1 YG
&amp;C&amp;"Arial"&amp;8Confidential – Qualcomm Technologies, Inc. and/or its affiliated companies – May Contain Trade Secrets
&amp;"Arial,Bold"&amp;8MAY CONTAIN U.S. AND INTERNATIONAL EXPORT CONTROLLED INFORMATION&amp;R&amp;"Arial"&amp;8 &amp;P
</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pageSetUpPr fitToPage="1"/>
  </sheetPr>
  <dimension ref="A1:S64"/>
  <sheetViews>
    <sheetView workbookViewId="0"/>
  </sheetViews>
  <sheetFormatPr defaultColWidth="9.140625" defaultRowHeight="12.75" x14ac:dyDescent="0.2"/>
  <cols>
    <col min="1" max="1" width="14.28515625" bestFit="1" customWidth="1"/>
    <col min="2" max="2" width="3.140625" bestFit="1" customWidth="1"/>
    <col min="3" max="3" width="21" bestFit="1" customWidth="1"/>
    <col min="4" max="4" width="2" bestFit="1" customWidth="1"/>
    <col min="5" max="5" width="28.42578125" bestFit="1" customWidth="1"/>
    <col min="6" max="6" width="2" bestFit="1" customWidth="1"/>
    <col min="7" max="7" width="25" bestFit="1" customWidth="1"/>
    <col min="8" max="8" width="1.5703125" bestFit="1" customWidth="1"/>
    <col min="9" max="9" width="10.7109375" bestFit="1" customWidth="1"/>
    <col min="10" max="10" width="2.7109375" bestFit="1" customWidth="1"/>
    <col min="11" max="11" width="5" bestFit="1" customWidth="1"/>
    <col min="12" max="12" width="5.85546875" bestFit="1" customWidth="1"/>
    <col min="13" max="13" width="21" style="4" bestFit="1" customWidth="1"/>
  </cols>
  <sheetData>
    <row r="1" spans="1:19" x14ac:dyDescent="0.2">
      <c r="M1" s="4" t="s">
        <v>499</v>
      </c>
      <c r="O1" s="4" t="s">
        <v>358</v>
      </c>
      <c r="P1" s="112">
        <f>'SDM439 DPHY timing'!B3</f>
        <v>2010</v>
      </c>
      <c r="Q1" s="4"/>
      <c r="R1" s="4" t="s">
        <v>485</v>
      </c>
      <c r="S1" s="4">
        <f>LOOKUP("SELECT",N2:N64,M2:M64)</f>
        <v>0</v>
      </c>
    </row>
    <row r="2" spans="1:19" x14ac:dyDescent="0.2">
      <c r="A2" t="s">
        <v>359</v>
      </c>
      <c r="B2" t="s">
        <v>360</v>
      </c>
      <c r="C2" t="s">
        <v>500</v>
      </c>
      <c r="D2" t="s">
        <v>362</v>
      </c>
      <c r="E2" t="s">
        <v>501</v>
      </c>
      <c r="F2" t="s">
        <v>364</v>
      </c>
      <c r="G2" t="s">
        <v>502</v>
      </c>
      <c r="H2" t="s">
        <v>360</v>
      </c>
      <c r="I2" t="s">
        <v>496</v>
      </c>
      <c r="J2" t="s">
        <v>367</v>
      </c>
      <c r="K2">
        <v>80</v>
      </c>
      <c r="L2" t="s">
        <v>97</v>
      </c>
      <c r="M2" s="4">
        <f>IF(_xlfn.NUMBERVALUE(MID(I2,5,1))=1,8,0)+_xlfn.NUMBERVALUE(MID(I2,10,1))</f>
        <v>11</v>
      </c>
      <c r="N2" s="4" t="b">
        <f>IF($P$1&gt;=K2,IF($P$1&lt;K3,"SELECT"))</f>
        <v>0</v>
      </c>
    </row>
    <row r="3" spans="1:19" x14ac:dyDescent="0.2">
      <c r="A3" t="s">
        <v>368</v>
      </c>
      <c r="B3" t="s">
        <v>360</v>
      </c>
      <c r="C3" t="s">
        <v>500</v>
      </c>
      <c r="D3" t="s">
        <v>362</v>
      </c>
      <c r="E3" t="s">
        <v>501</v>
      </c>
      <c r="F3" t="s">
        <v>364</v>
      </c>
      <c r="G3" t="s">
        <v>502</v>
      </c>
      <c r="H3" t="s">
        <v>360</v>
      </c>
      <c r="I3" t="s">
        <v>497</v>
      </c>
      <c r="J3" t="s">
        <v>367</v>
      </c>
      <c r="K3">
        <v>90</v>
      </c>
      <c r="L3" t="s">
        <v>97</v>
      </c>
      <c r="M3" s="4">
        <f t="shared" ref="M3:M64" si="0">IF(_xlfn.NUMBERVALUE(MID(I3,5,1))=1,8,0)+_xlfn.NUMBERVALUE(MID(I3,10,1))</f>
        <v>12</v>
      </c>
      <c r="N3" s="4" t="b">
        <f t="shared" ref="N3:N64" si="1">IF($P$1&gt;=K3,IF($P$1&lt;K4,"SELECT"))</f>
        <v>0</v>
      </c>
    </row>
    <row r="4" spans="1:19" x14ac:dyDescent="0.2">
      <c r="A4" t="s">
        <v>370</v>
      </c>
      <c r="B4" t="s">
        <v>360</v>
      </c>
      <c r="C4" t="s">
        <v>500</v>
      </c>
      <c r="D4" t="s">
        <v>362</v>
      </c>
      <c r="E4" t="s">
        <v>501</v>
      </c>
      <c r="F4" t="s">
        <v>364</v>
      </c>
      <c r="G4" t="s">
        <v>502</v>
      </c>
      <c r="H4" t="s">
        <v>360</v>
      </c>
      <c r="I4" t="s">
        <v>497</v>
      </c>
      <c r="J4" t="s">
        <v>367</v>
      </c>
      <c r="K4">
        <v>100</v>
      </c>
      <c r="L4" t="s">
        <v>97</v>
      </c>
      <c r="M4" s="4">
        <f t="shared" si="0"/>
        <v>12</v>
      </c>
      <c r="N4" s="4" t="b">
        <f t="shared" si="1"/>
        <v>0</v>
      </c>
    </row>
    <row r="5" spans="1:19" x14ac:dyDescent="0.2">
      <c r="A5" t="s">
        <v>371</v>
      </c>
      <c r="B5" t="s">
        <v>360</v>
      </c>
      <c r="C5" t="s">
        <v>500</v>
      </c>
      <c r="D5" t="s">
        <v>362</v>
      </c>
      <c r="E5" t="s">
        <v>501</v>
      </c>
      <c r="F5" t="s">
        <v>364</v>
      </c>
      <c r="G5" t="s">
        <v>502</v>
      </c>
      <c r="H5" t="s">
        <v>360</v>
      </c>
      <c r="I5" t="s">
        <v>497</v>
      </c>
      <c r="J5" t="s">
        <v>367</v>
      </c>
      <c r="K5">
        <v>110</v>
      </c>
      <c r="L5" t="s">
        <v>97</v>
      </c>
      <c r="M5" s="4">
        <f t="shared" si="0"/>
        <v>12</v>
      </c>
      <c r="N5" s="4" t="b">
        <f t="shared" si="1"/>
        <v>0</v>
      </c>
    </row>
    <row r="6" spans="1:19" x14ac:dyDescent="0.2">
      <c r="A6" t="s">
        <v>373</v>
      </c>
      <c r="B6" t="s">
        <v>360</v>
      </c>
      <c r="C6" t="s">
        <v>500</v>
      </c>
      <c r="D6" t="s">
        <v>362</v>
      </c>
      <c r="E6" t="s">
        <v>501</v>
      </c>
      <c r="F6" t="s">
        <v>364</v>
      </c>
      <c r="G6" t="s">
        <v>502</v>
      </c>
      <c r="H6" t="s">
        <v>360</v>
      </c>
      <c r="I6" t="s">
        <v>490</v>
      </c>
      <c r="J6" t="s">
        <v>367</v>
      </c>
      <c r="K6">
        <v>120</v>
      </c>
      <c r="L6" t="s">
        <v>97</v>
      </c>
      <c r="M6" s="4">
        <f t="shared" si="0"/>
        <v>13</v>
      </c>
      <c r="N6" s="4" t="b">
        <f t="shared" si="1"/>
        <v>0</v>
      </c>
    </row>
    <row r="7" spans="1:19" x14ac:dyDescent="0.2">
      <c r="A7" t="s">
        <v>375</v>
      </c>
      <c r="B7" t="s">
        <v>360</v>
      </c>
      <c r="C7" t="s">
        <v>500</v>
      </c>
      <c r="D7" t="s">
        <v>362</v>
      </c>
      <c r="E7" t="s">
        <v>501</v>
      </c>
      <c r="F7" t="s">
        <v>364</v>
      </c>
      <c r="G7" t="s">
        <v>502</v>
      </c>
      <c r="H7" t="s">
        <v>360</v>
      </c>
      <c r="I7" t="s">
        <v>491</v>
      </c>
      <c r="J7" t="s">
        <v>367</v>
      </c>
      <c r="K7">
        <v>130</v>
      </c>
      <c r="L7" t="s">
        <v>97</v>
      </c>
      <c r="M7" s="4">
        <f t="shared" si="0"/>
        <v>14</v>
      </c>
      <c r="N7" s="4" t="b">
        <f t="shared" si="1"/>
        <v>0</v>
      </c>
    </row>
    <row r="8" spans="1:19" x14ac:dyDescent="0.2">
      <c r="A8" t="s">
        <v>376</v>
      </c>
      <c r="B8" t="s">
        <v>360</v>
      </c>
      <c r="C8" t="s">
        <v>500</v>
      </c>
      <c r="D8" t="s">
        <v>362</v>
      </c>
      <c r="E8" t="s">
        <v>501</v>
      </c>
      <c r="F8" t="s">
        <v>364</v>
      </c>
      <c r="G8" t="s">
        <v>502</v>
      </c>
      <c r="H8" t="s">
        <v>360</v>
      </c>
      <c r="I8" t="s">
        <v>492</v>
      </c>
      <c r="J8" t="s">
        <v>367</v>
      </c>
      <c r="K8">
        <v>140</v>
      </c>
      <c r="L8" t="s">
        <v>97</v>
      </c>
      <c r="M8" s="4">
        <f t="shared" si="0"/>
        <v>15</v>
      </c>
      <c r="N8" s="4" t="b">
        <f t="shared" si="1"/>
        <v>0</v>
      </c>
    </row>
    <row r="9" spans="1:19" x14ac:dyDescent="0.2">
      <c r="A9" t="s">
        <v>378</v>
      </c>
      <c r="B9" t="s">
        <v>360</v>
      </c>
      <c r="C9" t="s">
        <v>500</v>
      </c>
      <c r="D9" t="s">
        <v>362</v>
      </c>
      <c r="E9" t="s">
        <v>501</v>
      </c>
      <c r="F9" t="s">
        <v>364</v>
      </c>
      <c r="G9" t="s">
        <v>502</v>
      </c>
      <c r="H9" t="s">
        <v>360</v>
      </c>
      <c r="I9" t="s">
        <v>492</v>
      </c>
      <c r="J9" t="s">
        <v>367</v>
      </c>
      <c r="K9">
        <v>150</v>
      </c>
      <c r="L9" t="s">
        <v>97</v>
      </c>
      <c r="M9" s="4">
        <f t="shared" si="0"/>
        <v>15</v>
      </c>
      <c r="N9" s="4" t="b">
        <f t="shared" si="1"/>
        <v>0</v>
      </c>
    </row>
    <row r="10" spans="1:19" x14ac:dyDescent="0.2">
      <c r="A10" t="s">
        <v>380</v>
      </c>
      <c r="B10" t="s">
        <v>360</v>
      </c>
      <c r="C10" t="s">
        <v>500</v>
      </c>
      <c r="D10" t="s">
        <v>362</v>
      </c>
      <c r="E10" t="s">
        <v>501</v>
      </c>
      <c r="F10" t="s">
        <v>364</v>
      </c>
      <c r="G10" t="s">
        <v>502</v>
      </c>
      <c r="H10" t="s">
        <v>360</v>
      </c>
      <c r="I10" t="s">
        <v>493</v>
      </c>
      <c r="J10" t="s">
        <v>367</v>
      </c>
      <c r="K10">
        <v>160</v>
      </c>
      <c r="L10" t="s">
        <v>97</v>
      </c>
      <c r="M10" s="4">
        <f t="shared" si="0"/>
        <v>8</v>
      </c>
      <c r="N10" s="4" t="b">
        <f t="shared" si="1"/>
        <v>0</v>
      </c>
    </row>
    <row r="11" spans="1:19" x14ac:dyDescent="0.2">
      <c r="A11" t="s">
        <v>381</v>
      </c>
      <c r="B11" t="s">
        <v>360</v>
      </c>
      <c r="C11" t="s">
        <v>500</v>
      </c>
      <c r="D11" t="s">
        <v>362</v>
      </c>
      <c r="E11" t="s">
        <v>501</v>
      </c>
      <c r="F11" t="s">
        <v>364</v>
      </c>
      <c r="G11" t="s">
        <v>502</v>
      </c>
      <c r="H11" t="s">
        <v>360</v>
      </c>
      <c r="I11" t="s">
        <v>494</v>
      </c>
      <c r="J11" t="s">
        <v>367</v>
      </c>
      <c r="K11">
        <v>170</v>
      </c>
      <c r="L11" t="s">
        <v>97</v>
      </c>
      <c r="M11" s="4">
        <f t="shared" si="0"/>
        <v>9</v>
      </c>
      <c r="N11" s="4" t="b">
        <f t="shared" si="1"/>
        <v>0</v>
      </c>
    </row>
    <row r="12" spans="1:19" x14ac:dyDescent="0.2">
      <c r="A12" t="s">
        <v>383</v>
      </c>
      <c r="B12" t="s">
        <v>360</v>
      </c>
      <c r="C12" t="s">
        <v>500</v>
      </c>
      <c r="D12" t="s">
        <v>362</v>
      </c>
      <c r="E12" t="s">
        <v>501</v>
      </c>
      <c r="F12" t="s">
        <v>364</v>
      </c>
      <c r="G12" t="s">
        <v>502</v>
      </c>
      <c r="H12" t="s">
        <v>360</v>
      </c>
      <c r="I12" t="s">
        <v>495</v>
      </c>
      <c r="J12" t="s">
        <v>367</v>
      </c>
      <c r="K12">
        <v>180</v>
      </c>
      <c r="L12" t="s">
        <v>97</v>
      </c>
      <c r="M12" s="4">
        <f t="shared" si="0"/>
        <v>10</v>
      </c>
      <c r="N12" s="4" t="b">
        <f t="shared" si="1"/>
        <v>0</v>
      </c>
    </row>
    <row r="13" spans="1:19" x14ac:dyDescent="0.2">
      <c r="A13" t="s">
        <v>384</v>
      </c>
      <c r="B13" t="s">
        <v>360</v>
      </c>
      <c r="C13" t="s">
        <v>500</v>
      </c>
      <c r="D13" t="s">
        <v>362</v>
      </c>
      <c r="E13" t="s">
        <v>501</v>
      </c>
      <c r="F13" t="s">
        <v>364</v>
      </c>
      <c r="G13" t="s">
        <v>502</v>
      </c>
      <c r="H13" t="s">
        <v>360</v>
      </c>
      <c r="I13" t="s">
        <v>496</v>
      </c>
      <c r="J13" t="s">
        <v>367</v>
      </c>
      <c r="K13">
        <v>190</v>
      </c>
      <c r="L13" t="s">
        <v>97</v>
      </c>
      <c r="M13" s="4">
        <f t="shared" si="0"/>
        <v>11</v>
      </c>
      <c r="N13" s="4" t="b">
        <f t="shared" si="1"/>
        <v>0</v>
      </c>
    </row>
    <row r="14" spans="1:19" x14ac:dyDescent="0.2">
      <c r="A14" t="s">
        <v>386</v>
      </c>
      <c r="B14" t="s">
        <v>360</v>
      </c>
      <c r="C14" t="s">
        <v>500</v>
      </c>
      <c r="D14" t="s">
        <v>362</v>
      </c>
      <c r="E14" t="s">
        <v>501</v>
      </c>
      <c r="F14" t="s">
        <v>364</v>
      </c>
      <c r="G14" t="s">
        <v>502</v>
      </c>
      <c r="H14" t="s">
        <v>360</v>
      </c>
      <c r="I14" t="s">
        <v>496</v>
      </c>
      <c r="J14" t="s">
        <v>367</v>
      </c>
      <c r="K14">
        <v>205</v>
      </c>
      <c r="L14" t="s">
        <v>97</v>
      </c>
      <c r="M14" s="4">
        <f t="shared" si="0"/>
        <v>11</v>
      </c>
      <c r="N14" s="4" t="b">
        <f t="shared" si="1"/>
        <v>0</v>
      </c>
    </row>
    <row r="15" spans="1:19" x14ac:dyDescent="0.2">
      <c r="A15" t="s">
        <v>388</v>
      </c>
      <c r="B15" t="s">
        <v>360</v>
      </c>
      <c r="C15" t="s">
        <v>500</v>
      </c>
      <c r="D15" t="s">
        <v>362</v>
      </c>
      <c r="E15" t="s">
        <v>501</v>
      </c>
      <c r="F15" t="s">
        <v>364</v>
      </c>
      <c r="G15" t="s">
        <v>502</v>
      </c>
      <c r="H15" t="s">
        <v>360</v>
      </c>
      <c r="I15" t="s">
        <v>497</v>
      </c>
      <c r="J15" t="s">
        <v>367</v>
      </c>
      <c r="K15">
        <v>220</v>
      </c>
      <c r="L15" t="s">
        <v>97</v>
      </c>
      <c r="M15" s="4">
        <f t="shared" si="0"/>
        <v>12</v>
      </c>
      <c r="N15" s="4" t="b">
        <f t="shared" si="1"/>
        <v>0</v>
      </c>
    </row>
    <row r="16" spans="1:19" x14ac:dyDescent="0.2">
      <c r="A16" t="s">
        <v>390</v>
      </c>
      <c r="B16" t="s">
        <v>360</v>
      </c>
      <c r="C16" t="s">
        <v>500</v>
      </c>
      <c r="D16" t="s">
        <v>362</v>
      </c>
      <c r="E16" t="s">
        <v>501</v>
      </c>
      <c r="F16" t="s">
        <v>364</v>
      </c>
      <c r="G16" t="s">
        <v>502</v>
      </c>
      <c r="H16" t="s">
        <v>360</v>
      </c>
      <c r="I16" t="s">
        <v>490</v>
      </c>
      <c r="J16" t="s">
        <v>367</v>
      </c>
      <c r="K16">
        <v>235</v>
      </c>
      <c r="L16" t="s">
        <v>97</v>
      </c>
      <c r="M16" s="4">
        <f t="shared" si="0"/>
        <v>13</v>
      </c>
      <c r="N16" s="4" t="b">
        <f t="shared" si="1"/>
        <v>0</v>
      </c>
    </row>
    <row r="17" spans="1:14" x14ac:dyDescent="0.2">
      <c r="A17" t="s">
        <v>392</v>
      </c>
      <c r="B17" t="s">
        <v>360</v>
      </c>
      <c r="C17" t="s">
        <v>500</v>
      </c>
      <c r="D17" t="s">
        <v>362</v>
      </c>
      <c r="E17" t="s">
        <v>501</v>
      </c>
      <c r="F17" t="s">
        <v>364</v>
      </c>
      <c r="G17" t="s">
        <v>502</v>
      </c>
      <c r="H17" t="s">
        <v>360</v>
      </c>
      <c r="I17" t="s">
        <v>492</v>
      </c>
      <c r="J17" t="s">
        <v>367</v>
      </c>
      <c r="K17">
        <v>250</v>
      </c>
      <c r="L17" t="s">
        <v>97</v>
      </c>
      <c r="M17" s="4">
        <f t="shared" si="0"/>
        <v>15</v>
      </c>
      <c r="N17" s="4" t="b">
        <f t="shared" si="1"/>
        <v>0</v>
      </c>
    </row>
    <row r="18" spans="1:14" x14ac:dyDescent="0.2">
      <c r="A18" t="s">
        <v>394</v>
      </c>
      <c r="B18" t="s">
        <v>360</v>
      </c>
      <c r="C18" t="s">
        <v>500</v>
      </c>
      <c r="D18" t="s">
        <v>362</v>
      </c>
      <c r="E18" t="s">
        <v>501</v>
      </c>
      <c r="F18" t="s">
        <v>364</v>
      </c>
      <c r="G18" t="s">
        <v>502</v>
      </c>
      <c r="H18" t="s">
        <v>360</v>
      </c>
      <c r="I18" t="s">
        <v>494</v>
      </c>
      <c r="J18" t="s">
        <v>367</v>
      </c>
      <c r="K18">
        <v>275</v>
      </c>
      <c r="L18" t="s">
        <v>97</v>
      </c>
      <c r="M18" s="4">
        <f t="shared" si="0"/>
        <v>9</v>
      </c>
      <c r="N18" s="4" t="b">
        <f t="shared" si="1"/>
        <v>0</v>
      </c>
    </row>
    <row r="19" spans="1:14" x14ac:dyDescent="0.2">
      <c r="A19" t="s">
        <v>396</v>
      </c>
      <c r="B19" t="s">
        <v>360</v>
      </c>
      <c r="C19" t="s">
        <v>500</v>
      </c>
      <c r="D19" t="s">
        <v>362</v>
      </c>
      <c r="E19" t="s">
        <v>501</v>
      </c>
      <c r="F19" t="s">
        <v>364</v>
      </c>
      <c r="G19" t="s">
        <v>502</v>
      </c>
      <c r="H19" t="s">
        <v>360</v>
      </c>
      <c r="I19" t="s">
        <v>495</v>
      </c>
      <c r="J19" t="s">
        <v>367</v>
      </c>
      <c r="K19">
        <v>300</v>
      </c>
      <c r="L19" t="s">
        <v>97</v>
      </c>
      <c r="M19" s="4">
        <f t="shared" si="0"/>
        <v>10</v>
      </c>
      <c r="N19" s="4" t="b">
        <f t="shared" si="1"/>
        <v>0</v>
      </c>
    </row>
    <row r="20" spans="1:14" x14ac:dyDescent="0.2">
      <c r="A20" t="s">
        <v>398</v>
      </c>
      <c r="B20" t="s">
        <v>360</v>
      </c>
      <c r="C20" t="s">
        <v>500</v>
      </c>
      <c r="D20" t="s">
        <v>362</v>
      </c>
      <c r="E20" t="s">
        <v>501</v>
      </c>
      <c r="F20" t="s">
        <v>364</v>
      </c>
      <c r="G20" t="s">
        <v>502</v>
      </c>
      <c r="H20" t="s">
        <v>360</v>
      </c>
      <c r="I20" t="s">
        <v>497</v>
      </c>
      <c r="J20" t="s">
        <v>367</v>
      </c>
      <c r="K20">
        <v>325</v>
      </c>
      <c r="L20" t="s">
        <v>97</v>
      </c>
      <c r="M20" s="4">
        <f t="shared" si="0"/>
        <v>12</v>
      </c>
      <c r="N20" s="4" t="b">
        <f t="shared" si="1"/>
        <v>0</v>
      </c>
    </row>
    <row r="21" spans="1:14" x14ac:dyDescent="0.2">
      <c r="A21" t="s">
        <v>400</v>
      </c>
      <c r="B21" t="s">
        <v>360</v>
      </c>
      <c r="C21" t="s">
        <v>500</v>
      </c>
      <c r="D21" t="s">
        <v>362</v>
      </c>
      <c r="E21" t="s">
        <v>501</v>
      </c>
      <c r="F21" t="s">
        <v>364</v>
      </c>
      <c r="G21" t="s">
        <v>502</v>
      </c>
      <c r="H21" t="s">
        <v>360</v>
      </c>
      <c r="I21" t="s">
        <v>493</v>
      </c>
      <c r="J21" t="s">
        <v>367</v>
      </c>
      <c r="K21">
        <v>350</v>
      </c>
      <c r="L21" t="s">
        <v>97</v>
      </c>
      <c r="M21" s="4">
        <f t="shared" si="0"/>
        <v>8</v>
      </c>
      <c r="N21" s="4" t="b">
        <f t="shared" si="1"/>
        <v>0</v>
      </c>
    </row>
    <row r="22" spans="1:14" x14ac:dyDescent="0.2">
      <c r="A22" t="s">
        <v>402</v>
      </c>
      <c r="B22" t="s">
        <v>360</v>
      </c>
      <c r="C22" t="s">
        <v>500</v>
      </c>
      <c r="D22" t="s">
        <v>362</v>
      </c>
      <c r="E22" t="s">
        <v>501</v>
      </c>
      <c r="F22" t="s">
        <v>364</v>
      </c>
      <c r="G22" t="s">
        <v>502</v>
      </c>
      <c r="H22" t="s">
        <v>360</v>
      </c>
      <c r="I22" t="s">
        <v>493</v>
      </c>
      <c r="J22" t="s">
        <v>367</v>
      </c>
      <c r="K22">
        <v>400</v>
      </c>
      <c r="L22" t="s">
        <v>97</v>
      </c>
      <c r="M22" s="4">
        <f t="shared" si="0"/>
        <v>8</v>
      </c>
      <c r="N22" s="4" t="b">
        <f t="shared" si="1"/>
        <v>0</v>
      </c>
    </row>
    <row r="23" spans="1:14" x14ac:dyDescent="0.2">
      <c r="A23" t="s">
        <v>404</v>
      </c>
      <c r="B23" t="s">
        <v>360</v>
      </c>
      <c r="C23" t="s">
        <v>500</v>
      </c>
      <c r="D23" t="s">
        <v>362</v>
      </c>
      <c r="E23" t="s">
        <v>501</v>
      </c>
      <c r="F23" t="s">
        <v>364</v>
      </c>
      <c r="G23" t="s">
        <v>502</v>
      </c>
      <c r="H23" t="s">
        <v>360</v>
      </c>
      <c r="I23" t="s">
        <v>498</v>
      </c>
      <c r="J23" t="s">
        <v>367</v>
      </c>
      <c r="K23">
        <v>450</v>
      </c>
      <c r="L23" t="s">
        <v>97</v>
      </c>
      <c r="M23" s="4">
        <f t="shared" si="0"/>
        <v>0</v>
      </c>
      <c r="N23" s="4" t="b">
        <f t="shared" si="1"/>
        <v>0</v>
      </c>
    </row>
    <row r="24" spans="1:14" x14ac:dyDescent="0.2">
      <c r="A24" t="s">
        <v>406</v>
      </c>
      <c r="B24" t="s">
        <v>360</v>
      </c>
      <c r="C24" t="s">
        <v>500</v>
      </c>
      <c r="D24" t="s">
        <v>362</v>
      </c>
      <c r="E24" t="s">
        <v>501</v>
      </c>
      <c r="F24" t="s">
        <v>364</v>
      </c>
      <c r="G24" t="s">
        <v>502</v>
      </c>
      <c r="H24" t="s">
        <v>360</v>
      </c>
      <c r="I24" t="s">
        <v>498</v>
      </c>
      <c r="J24" t="s">
        <v>367</v>
      </c>
      <c r="K24">
        <v>500</v>
      </c>
      <c r="L24" t="s">
        <v>97</v>
      </c>
      <c r="M24" s="4">
        <f t="shared" si="0"/>
        <v>0</v>
      </c>
      <c r="N24" s="4" t="b">
        <f t="shared" si="1"/>
        <v>0</v>
      </c>
    </row>
    <row r="25" spans="1:14" x14ac:dyDescent="0.2">
      <c r="A25" t="s">
        <v>408</v>
      </c>
      <c r="B25" t="s">
        <v>360</v>
      </c>
      <c r="C25" t="s">
        <v>500</v>
      </c>
      <c r="D25" t="s">
        <v>362</v>
      </c>
      <c r="E25" t="s">
        <v>501</v>
      </c>
      <c r="F25" t="s">
        <v>364</v>
      </c>
      <c r="G25" t="s">
        <v>502</v>
      </c>
      <c r="H25" t="s">
        <v>360</v>
      </c>
      <c r="I25" t="s">
        <v>498</v>
      </c>
      <c r="J25" t="s">
        <v>367</v>
      </c>
      <c r="K25">
        <v>550</v>
      </c>
      <c r="L25" t="s">
        <v>97</v>
      </c>
      <c r="M25" s="4">
        <f t="shared" si="0"/>
        <v>0</v>
      </c>
      <c r="N25" s="4" t="b">
        <f t="shared" si="1"/>
        <v>0</v>
      </c>
    </row>
    <row r="26" spans="1:14" x14ac:dyDescent="0.2">
      <c r="A26" t="s">
        <v>410</v>
      </c>
      <c r="B26" t="s">
        <v>360</v>
      </c>
      <c r="C26" t="s">
        <v>500</v>
      </c>
      <c r="D26" t="s">
        <v>362</v>
      </c>
      <c r="E26" t="s">
        <v>501</v>
      </c>
      <c r="F26" t="s">
        <v>364</v>
      </c>
      <c r="G26" t="s">
        <v>502</v>
      </c>
      <c r="H26" t="s">
        <v>360</v>
      </c>
      <c r="I26" t="s">
        <v>498</v>
      </c>
      <c r="J26" t="s">
        <v>367</v>
      </c>
      <c r="K26">
        <v>600</v>
      </c>
      <c r="L26" t="s">
        <v>97</v>
      </c>
      <c r="M26" s="4">
        <f t="shared" si="0"/>
        <v>0</v>
      </c>
      <c r="N26" s="4" t="b">
        <f t="shared" si="1"/>
        <v>0</v>
      </c>
    </row>
    <row r="27" spans="1:14" x14ac:dyDescent="0.2">
      <c r="A27" t="s">
        <v>412</v>
      </c>
      <c r="B27" t="s">
        <v>360</v>
      </c>
      <c r="C27" t="s">
        <v>500</v>
      </c>
      <c r="D27" t="s">
        <v>362</v>
      </c>
      <c r="E27" t="s">
        <v>501</v>
      </c>
      <c r="F27" t="s">
        <v>364</v>
      </c>
      <c r="G27" t="s">
        <v>502</v>
      </c>
      <c r="H27" t="s">
        <v>360</v>
      </c>
      <c r="I27" t="s">
        <v>498</v>
      </c>
      <c r="J27" t="s">
        <v>367</v>
      </c>
      <c r="K27">
        <v>650</v>
      </c>
      <c r="L27" t="s">
        <v>97</v>
      </c>
      <c r="M27" s="4">
        <f t="shared" si="0"/>
        <v>0</v>
      </c>
      <c r="N27" s="4" t="b">
        <f t="shared" si="1"/>
        <v>0</v>
      </c>
    </row>
    <row r="28" spans="1:14" x14ac:dyDescent="0.2">
      <c r="A28" t="s">
        <v>414</v>
      </c>
      <c r="B28" t="s">
        <v>360</v>
      </c>
      <c r="C28" t="s">
        <v>500</v>
      </c>
      <c r="D28" t="s">
        <v>362</v>
      </c>
      <c r="E28" t="s">
        <v>501</v>
      </c>
      <c r="F28" t="s">
        <v>364</v>
      </c>
      <c r="G28" t="s">
        <v>502</v>
      </c>
      <c r="H28" t="s">
        <v>360</v>
      </c>
      <c r="I28" t="s">
        <v>498</v>
      </c>
      <c r="J28" t="s">
        <v>367</v>
      </c>
      <c r="K28">
        <v>700</v>
      </c>
      <c r="L28" t="s">
        <v>97</v>
      </c>
      <c r="M28" s="4">
        <f t="shared" si="0"/>
        <v>0</v>
      </c>
      <c r="N28" s="4" t="b">
        <f t="shared" si="1"/>
        <v>0</v>
      </c>
    </row>
    <row r="29" spans="1:14" x14ac:dyDescent="0.2">
      <c r="A29" t="s">
        <v>416</v>
      </c>
      <c r="B29" t="s">
        <v>360</v>
      </c>
      <c r="C29" t="s">
        <v>500</v>
      </c>
      <c r="D29" t="s">
        <v>362</v>
      </c>
      <c r="E29" t="s">
        <v>501</v>
      </c>
      <c r="F29" t="s">
        <v>364</v>
      </c>
      <c r="G29" t="s">
        <v>502</v>
      </c>
      <c r="H29" t="s">
        <v>360</v>
      </c>
      <c r="I29" t="s">
        <v>498</v>
      </c>
      <c r="J29" t="s">
        <v>367</v>
      </c>
      <c r="K29">
        <v>750</v>
      </c>
      <c r="L29" t="s">
        <v>97</v>
      </c>
      <c r="M29" s="4">
        <f t="shared" si="0"/>
        <v>0</v>
      </c>
      <c r="N29" s="4" t="b">
        <f t="shared" si="1"/>
        <v>0</v>
      </c>
    </row>
    <row r="30" spans="1:14" x14ac:dyDescent="0.2">
      <c r="A30" t="s">
        <v>418</v>
      </c>
      <c r="B30" t="s">
        <v>360</v>
      </c>
      <c r="C30" t="s">
        <v>500</v>
      </c>
      <c r="D30" t="s">
        <v>362</v>
      </c>
      <c r="E30" t="s">
        <v>501</v>
      </c>
      <c r="F30" t="s">
        <v>364</v>
      </c>
      <c r="G30" t="s">
        <v>502</v>
      </c>
      <c r="H30" t="s">
        <v>360</v>
      </c>
      <c r="I30" t="s">
        <v>498</v>
      </c>
      <c r="J30" t="s">
        <v>367</v>
      </c>
      <c r="K30">
        <v>800</v>
      </c>
      <c r="L30" t="s">
        <v>97</v>
      </c>
      <c r="M30" s="4">
        <f t="shared" si="0"/>
        <v>0</v>
      </c>
      <c r="N30" s="4" t="b">
        <f t="shared" si="1"/>
        <v>0</v>
      </c>
    </row>
    <row r="31" spans="1:14" x14ac:dyDescent="0.2">
      <c r="A31" t="s">
        <v>420</v>
      </c>
      <c r="B31" t="s">
        <v>360</v>
      </c>
      <c r="C31" t="s">
        <v>500</v>
      </c>
      <c r="D31" t="s">
        <v>362</v>
      </c>
      <c r="E31" t="s">
        <v>501</v>
      </c>
      <c r="F31" t="s">
        <v>364</v>
      </c>
      <c r="G31" t="s">
        <v>502</v>
      </c>
      <c r="H31" t="s">
        <v>360</v>
      </c>
      <c r="I31" t="s">
        <v>498</v>
      </c>
      <c r="J31" t="s">
        <v>367</v>
      </c>
      <c r="K31">
        <v>850</v>
      </c>
      <c r="L31" t="s">
        <v>97</v>
      </c>
      <c r="M31" s="4">
        <f t="shared" si="0"/>
        <v>0</v>
      </c>
      <c r="N31" s="4" t="b">
        <f t="shared" si="1"/>
        <v>0</v>
      </c>
    </row>
    <row r="32" spans="1:14" x14ac:dyDescent="0.2">
      <c r="A32" t="s">
        <v>422</v>
      </c>
      <c r="B32" t="s">
        <v>360</v>
      </c>
      <c r="C32" t="s">
        <v>500</v>
      </c>
      <c r="D32" t="s">
        <v>362</v>
      </c>
      <c r="E32" t="s">
        <v>501</v>
      </c>
      <c r="F32" t="s">
        <v>364</v>
      </c>
      <c r="G32" t="s">
        <v>502</v>
      </c>
      <c r="H32" t="s">
        <v>360</v>
      </c>
      <c r="I32" t="s">
        <v>498</v>
      </c>
      <c r="J32" t="s">
        <v>367</v>
      </c>
      <c r="K32">
        <v>900</v>
      </c>
      <c r="L32" t="s">
        <v>97</v>
      </c>
      <c r="M32" s="4">
        <f t="shared" si="0"/>
        <v>0</v>
      </c>
      <c r="N32" s="4" t="b">
        <f t="shared" si="1"/>
        <v>0</v>
      </c>
    </row>
    <row r="33" spans="1:14" x14ac:dyDescent="0.2">
      <c r="A33" t="s">
        <v>424</v>
      </c>
      <c r="B33" t="s">
        <v>360</v>
      </c>
      <c r="C33" t="s">
        <v>500</v>
      </c>
      <c r="D33" t="s">
        <v>362</v>
      </c>
      <c r="E33" t="s">
        <v>501</v>
      </c>
      <c r="F33" t="s">
        <v>364</v>
      </c>
      <c r="G33" t="s">
        <v>502</v>
      </c>
      <c r="H33" t="s">
        <v>360</v>
      </c>
      <c r="I33" t="s">
        <v>498</v>
      </c>
      <c r="J33" t="s">
        <v>367</v>
      </c>
      <c r="K33">
        <v>950</v>
      </c>
      <c r="L33" t="s">
        <v>97</v>
      </c>
      <c r="M33" s="4">
        <f t="shared" si="0"/>
        <v>0</v>
      </c>
      <c r="N33" s="4" t="b">
        <f t="shared" si="1"/>
        <v>0</v>
      </c>
    </row>
    <row r="34" spans="1:14" x14ac:dyDescent="0.2">
      <c r="A34" t="s">
        <v>426</v>
      </c>
      <c r="B34" t="s">
        <v>360</v>
      </c>
      <c r="C34" t="s">
        <v>500</v>
      </c>
      <c r="D34" t="s">
        <v>362</v>
      </c>
      <c r="E34" t="s">
        <v>501</v>
      </c>
      <c r="F34" t="s">
        <v>364</v>
      </c>
      <c r="G34" t="s">
        <v>502</v>
      </c>
      <c r="H34" t="s">
        <v>360</v>
      </c>
      <c r="I34" t="s">
        <v>498</v>
      </c>
      <c r="J34" t="s">
        <v>367</v>
      </c>
      <c r="K34">
        <v>1000</v>
      </c>
      <c r="L34" t="s">
        <v>97</v>
      </c>
      <c r="M34" s="4">
        <f t="shared" si="0"/>
        <v>0</v>
      </c>
      <c r="N34" s="4" t="b">
        <f t="shared" si="1"/>
        <v>0</v>
      </c>
    </row>
    <row r="35" spans="1:14" x14ac:dyDescent="0.2">
      <c r="A35" t="s">
        <v>428</v>
      </c>
      <c r="B35" t="s">
        <v>360</v>
      </c>
      <c r="C35" t="s">
        <v>500</v>
      </c>
      <c r="D35" t="s">
        <v>362</v>
      </c>
      <c r="E35" t="s">
        <v>501</v>
      </c>
      <c r="F35" t="s">
        <v>364</v>
      </c>
      <c r="G35" t="s">
        <v>502</v>
      </c>
      <c r="H35" t="s">
        <v>360</v>
      </c>
      <c r="I35" t="s">
        <v>498</v>
      </c>
      <c r="J35" t="s">
        <v>367</v>
      </c>
      <c r="K35">
        <v>1050</v>
      </c>
      <c r="L35" t="s">
        <v>97</v>
      </c>
      <c r="M35" s="4">
        <f t="shared" si="0"/>
        <v>0</v>
      </c>
      <c r="N35" s="4" t="b">
        <f t="shared" si="1"/>
        <v>0</v>
      </c>
    </row>
    <row r="36" spans="1:14" x14ac:dyDescent="0.2">
      <c r="A36" t="s">
        <v>430</v>
      </c>
      <c r="B36" t="s">
        <v>360</v>
      </c>
      <c r="C36" t="s">
        <v>500</v>
      </c>
      <c r="D36" t="s">
        <v>362</v>
      </c>
      <c r="E36" t="s">
        <v>501</v>
      </c>
      <c r="F36" t="s">
        <v>364</v>
      </c>
      <c r="G36" t="s">
        <v>502</v>
      </c>
      <c r="H36" t="s">
        <v>360</v>
      </c>
      <c r="I36" t="s">
        <v>498</v>
      </c>
      <c r="J36" t="s">
        <v>367</v>
      </c>
      <c r="K36">
        <v>1100</v>
      </c>
      <c r="L36" t="s">
        <v>97</v>
      </c>
      <c r="M36" s="4">
        <f t="shared" si="0"/>
        <v>0</v>
      </c>
      <c r="N36" s="4" t="b">
        <f t="shared" si="1"/>
        <v>0</v>
      </c>
    </row>
    <row r="37" spans="1:14" x14ac:dyDescent="0.2">
      <c r="A37" t="s">
        <v>432</v>
      </c>
      <c r="B37" t="s">
        <v>360</v>
      </c>
      <c r="C37" t="s">
        <v>500</v>
      </c>
      <c r="D37" t="s">
        <v>362</v>
      </c>
      <c r="E37" t="s">
        <v>501</v>
      </c>
      <c r="F37" t="s">
        <v>364</v>
      </c>
      <c r="G37" t="s">
        <v>502</v>
      </c>
      <c r="H37" t="s">
        <v>360</v>
      </c>
      <c r="I37" t="s">
        <v>498</v>
      </c>
      <c r="J37" t="s">
        <v>367</v>
      </c>
      <c r="K37">
        <v>1150</v>
      </c>
      <c r="L37" t="s">
        <v>97</v>
      </c>
      <c r="M37" s="4">
        <f t="shared" si="0"/>
        <v>0</v>
      </c>
      <c r="N37" s="4" t="b">
        <f t="shared" si="1"/>
        <v>0</v>
      </c>
    </row>
    <row r="38" spans="1:14" x14ac:dyDescent="0.2">
      <c r="A38" t="s">
        <v>434</v>
      </c>
      <c r="B38" t="s">
        <v>360</v>
      </c>
      <c r="C38" t="s">
        <v>500</v>
      </c>
      <c r="D38" t="s">
        <v>362</v>
      </c>
      <c r="E38" t="s">
        <v>501</v>
      </c>
      <c r="F38" t="s">
        <v>364</v>
      </c>
      <c r="G38" t="s">
        <v>502</v>
      </c>
      <c r="H38" t="s">
        <v>360</v>
      </c>
      <c r="I38" t="s">
        <v>498</v>
      </c>
      <c r="J38" t="s">
        <v>367</v>
      </c>
      <c r="K38">
        <v>1200</v>
      </c>
      <c r="L38" t="s">
        <v>97</v>
      </c>
      <c r="M38" s="4">
        <f t="shared" si="0"/>
        <v>0</v>
      </c>
      <c r="N38" s="4" t="b">
        <f t="shared" si="1"/>
        <v>0</v>
      </c>
    </row>
    <row r="39" spans="1:14" x14ac:dyDescent="0.2">
      <c r="A39" t="s">
        <v>436</v>
      </c>
      <c r="B39" t="s">
        <v>360</v>
      </c>
      <c r="C39" t="s">
        <v>500</v>
      </c>
      <c r="D39" t="s">
        <v>362</v>
      </c>
      <c r="E39" t="s">
        <v>501</v>
      </c>
      <c r="F39" t="s">
        <v>364</v>
      </c>
      <c r="G39" t="s">
        <v>502</v>
      </c>
      <c r="H39" t="s">
        <v>360</v>
      </c>
      <c r="I39" t="s">
        <v>498</v>
      </c>
      <c r="J39" t="s">
        <v>367</v>
      </c>
      <c r="K39">
        <v>1250</v>
      </c>
      <c r="L39" t="s">
        <v>97</v>
      </c>
      <c r="M39" s="4">
        <f t="shared" si="0"/>
        <v>0</v>
      </c>
      <c r="N39" s="4" t="b">
        <f t="shared" si="1"/>
        <v>0</v>
      </c>
    </row>
    <row r="40" spans="1:14" x14ac:dyDescent="0.2">
      <c r="A40" t="s">
        <v>438</v>
      </c>
      <c r="B40" t="s">
        <v>360</v>
      </c>
      <c r="C40" t="s">
        <v>500</v>
      </c>
      <c r="D40" t="s">
        <v>362</v>
      </c>
      <c r="E40" t="s">
        <v>501</v>
      </c>
      <c r="F40" t="s">
        <v>364</v>
      </c>
      <c r="G40" t="s">
        <v>502</v>
      </c>
      <c r="H40" t="s">
        <v>360</v>
      </c>
      <c r="I40" t="s">
        <v>498</v>
      </c>
      <c r="J40" t="s">
        <v>367</v>
      </c>
      <c r="K40">
        <v>1300</v>
      </c>
      <c r="L40" t="s">
        <v>97</v>
      </c>
      <c r="M40" s="4">
        <f t="shared" si="0"/>
        <v>0</v>
      </c>
      <c r="N40" s="4" t="b">
        <f t="shared" si="1"/>
        <v>0</v>
      </c>
    </row>
    <row r="41" spans="1:14" x14ac:dyDescent="0.2">
      <c r="A41" t="s">
        <v>440</v>
      </c>
      <c r="B41" t="s">
        <v>360</v>
      </c>
      <c r="C41" t="s">
        <v>500</v>
      </c>
      <c r="D41" t="s">
        <v>362</v>
      </c>
      <c r="E41" t="s">
        <v>501</v>
      </c>
      <c r="F41" t="s">
        <v>364</v>
      </c>
      <c r="G41" t="s">
        <v>502</v>
      </c>
      <c r="H41" t="s">
        <v>360</v>
      </c>
      <c r="I41" t="s">
        <v>498</v>
      </c>
      <c r="J41" t="s">
        <v>367</v>
      </c>
      <c r="K41">
        <v>1350</v>
      </c>
      <c r="L41" t="s">
        <v>97</v>
      </c>
      <c r="M41" s="4">
        <f t="shared" si="0"/>
        <v>0</v>
      </c>
      <c r="N41" s="4" t="b">
        <f t="shared" si="1"/>
        <v>0</v>
      </c>
    </row>
    <row r="42" spans="1:14" x14ac:dyDescent="0.2">
      <c r="A42" t="s">
        <v>442</v>
      </c>
      <c r="B42" t="s">
        <v>360</v>
      </c>
      <c r="C42" t="s">
        <v>500</v>
      </c>
      <c r="D42" t="s">
        <v>362</v>
      </c>
      <c r="E42" t="s">
        <v>501</v>
      </c>
      <c r="F42" t="s">
        <v>364</v>
      </c>
      <c r="G42" t="s">
        <v>502</v>
      </c>
      <c r="H42" t="s">
        <v>360</v>
      </c>
      <c r="I42" t="s">
        <v>498</v>
      </c>
      <c r="J42" t="s">
        <v>367</v>
      </c>
      <c r="K42">
        <v>1400</v>
      </c>
      <c r="L42" t="s">
        <v>97</v>
      </c>
      <c r="M42" s="4">
        <f t="shared" si="0"/>
        <v>0</v>
      </c>
      <c r="N42" s="4" t="b">
        <f t="shared" si="1"/>
        <v>0</v>
      </c>
    </row>
    <row r="43" spans="1:14" x14ac:dyDescent="0.2">
      <c r="A43" t="s">
        <v>444</v>
      </c>
      <c r="B43" t="s">
        <v>360</v>
      </c>
      <c r="C43" t="s">
        <v>500</v>
      </c>
      <c r="D43" t="s">
        <v>362</v>
      </c>
      <c r="E43" t="s">
        <v>501</v>
      </c>
      <c r="F43" t="s">
        <v>364</v>
      </c>
      <c r="G43" t="s">
        <v>502</v>
      </c>
      <c r="H43" t="s">
        <v>360</v>
      </c>
      <c r="I43" t="s">
        <v>498</v>
      </c>
      <c r="J43" t="s">
        <v>367</v>
      </c>
      <c r="K43">
        <v>1450</v>
      </c>
      <c r="L43" t="s">
        <v>97</v>
      </c>
      <c r="M43" s="4">
        <f t="shared" si="0"/>
        <v>0</v>
      </c>
      <c r="N43" s="4" t="b">
        <f t="shared" si="1"/>
        <v>0</v>
      </c>
    </row>
    <row r="44" spans="1:14" x14ac:dyDescent="0.2">
      <c r="A44" t="s">
        <v>446</v>
      </c>
      <c r="B44" t="s">
        <v>360</v>
      </c>
      <c r="C44" t="s">
        <v>500</v>
      </c>
      <c r="D44" t="s">
        <v>362</v>
      </c>
      <c r="E44" t="s">
        <v>501</v>
      </c>
      <c r="F44" t="s">
        <v>364</v>
      </c>
      <c r="G44" t="s">
        <v>502</v>
      </c>
      <c r="H44" t="s">
        <v>360</v>
      </c>
      <c r="I44" t="s">
        <v>498</v>
      </c>
      <c r="J44" t="s">
        <v>367</v>
      </c>
      <c r="K44">
        <v>1500</v>
      </c>
      <c r="L44" t="s">
        <v>97</v>
      </c>
      <c r="M44" s="4">
        <f t="shared" si="0"/>
        <v>0</v>
      </c>
      <c r="N44" s="4" t="b">
        <f t="shared" si="1"/>
        <v>0</v>
      </c>
    </row>
    <row r="45" spans="1:14" x14ac:dyDescent="0.2">
      <c r="A45" t="s">
        <v>448</v>
      </c>
      <c r="B45" t="s">
        <v>360</v>
      </c>
      <c r="C45" t="s">
        <v>500</v>
      </c>
      <c r="D45" t="s">
        <v>362</v>
      </c>
      <c r="E45" t="s">
        <v>501</v>
      </c>
      <c r="F45" t="s">
        <v>364</v>
      </c>
      <c r="G45" t="s">
        <v>502</v>
      </c>
      <c r="H45" t="s">
        <v>360</v>
      </c>
      <c r="I45" t="s">
        <v>498</v>
      </c>
      <c r="J45" t="s">
        <v>367</v>
      </c>
      <c r="K45">
        <v>1550</v>
      </c>
      <c r="L45" t="s">
        <v>97</v>
      </c>
      <c r="M45" s="4">
        <f t="shared" si="0"/>
        <v>0</v>
      </c>
      <c r="N45" s="4" t="b">
        <f t="shared" si="1"/>
        <v>0</v>
      </c>
    </row>
    <row r="46" spans="1:14" x14ac:dyDescent="0.2">
      <c r="A46" t="s">
        <v>450</v>
      </c>
      <c r="B46" t="s">
        <v>360</v>
      </c>
      <c r="C46" t="s">
        <v>500</v>
      </c>
      <c r="D46" t="s">
        <v>362</v>
      </c>
      <c r="E46" t="s">
        <v>501</v>
      </c>
      <c r="F46" t="s">
        <v>364</v>
      </c>
      <c r="G46" t="s">
        <v>502</v>
      </c>
      <c r="H46" t="s">
        <v>360</v>
      </c>
      <c r="I46" t="s">
        <v>498</v>
      </c>
      <c r="J46" t="s">
        <v>367</v>
      </c>
      <c r="K46">
        <v>1600</v>
      </c>
      <c r="L46" t="s">
        <v>97</v>
      </c>
      <c r="M46" s="4">
        <f t="shared" si="0"/>
        <v>0</v>
      </c>
      <c r="N46" s="4" t="b">
        <f t="shared" si="1"/>
        <v>0</v>
      </c>
    </row>
    <row r="47" spans="1:14" x14ac:dyDescent="0.2">
      <c r="A47" t="s">
        <v>452</v>
      </c>
      <c r="B47" t="s">
        <v>360</v>
      </c>
      <c r="C47" t="s">
        <v>500</v>
      </c>
      <c r="D47" t="s">
        <v>362</v>
      </c>
      <c r="E47" t="s">
        <v>501</v>
      </c>
      <c r="F47" t="s">
        <v>364</v>
      </c>
      <c r="G47" t="s">
        <v>502</v>
      </c>
      <c r="H47" t="s">
        <v>360</v>
      </c>
      <c r="I47" t="s">
        <v>498</v>
      </c>
      <c r="J47" t="s">
        <v>367</v>
      </c>
      <c r="K47">
        <v>1650</v>
      </c>
      <c r="L47" t="s">
        <v>97</v>
      </c>
      <c r="M47" s="4">
        <f t="shared" si="0"/>
        <v>0</v>
      </c>
      <c r="N47" s="4" t="b">
        <f t="shared" si="1"/>
        <v>0</v>
      </c>
    </row>
    <row r="48" spans="1:14" x14ac:dyDescent="0.2">
      <c r="A48" t="s">
        <v>454</v>
      </c>
      <c r="B48" t="s">
        <v>360</v>
      </c>
      <c r="C48" t="s">
        <v>500</v>
      </c>
      <c r="D48" t="s">
        <v>362</v>
      </c>
      <c r="E48" t="s">
        <v>501</v>
      </c>
      <c r="F48" t="s">
        <v>364</v>
      </c>
      <c r="G48" t="s">
        <v>502</v>
      </c>
      <c r="H48" t="s">
        <v>360</v>
      </c>
      <c r="I48" t="s">
        <v>498</v>
      </c>
      <c r="J48" t="s">
        <v>367</v>
      </c>
      <c r="K48">
        <v>1700</v>
      </c>
      <c r="L48" t="s">
        <v>97</v>
      </c>
      <c r="M48" s="4">
        <f t="shared" si="0"/>
        <v>0</v>
      </c>
      <c r="N48" s="4" t="b">
        <f t="shared" si="1"/>
        <v>0</v>
      </c>
    </row>
    <row r="49" spans="1:14" x14ac:dyDescent="0.2">
      <c r="A49" t="s">
        <v>456</v>
      </c>
      <c r="B49" t="s">
        <v>360</v>
      </c>
      <c r="C49" t="s">
        <v>500</v>
      </c>
      <c r="D49" t="s">
        <v>362</v>
      </c>
      <c r="E49" t="s">
        <v>501</v>
      </c>
      <c r="F49" t="s">
        <v>364</v>
      </c>
      <c r="G49" t="s">
        <v>502</v>
      </c>
      <c r="H49" t="s">
        <v>360</v>
      </c>
      <c r="I49" t="s">
        <v>498</v>
      </c>
      <c r="J49" t="s">
        <v>367</v>
      </c>
      <c r="K49">
        <v>1750</v>
      </c>
      <c r="L49" t="s">
        <v>97</v>
      </c>
      <c r="M49" s="4">
        <f t="shared" si="0"/>
        <v>0</v>
      </c>
      <c r="N49" s="4" t="b">
        <f t="shared" si="1"/>
        <v>0</v>
      </c>
    </row>
    <row r="50" spans="1:14" x14ac:dyDescent="0.2">
      <c r="A50" t="s">
        <v>458</v>
      </c>
      <c r="B50" t="s">
        <v>360</v>
      </c>
      <c r="C50" t="s">
        <v>500</v>
      </c>
      <c r="D50" t="s">
        <v>362</v>
      </c>
      <c r="E50" t="s">
        <v>501</v>
      </c>
      <c r="F50" t="s">
        <v>364</v>
      </c>
      <c r="G50" t="s">
        <v>502</v>
      </c>
      <c r="H50" t="s">
        <v>360</v>
      </c>
      <c r="I50" t="s">
        <v>498</v>
      </c>
      <c r="J50" t="s">
        <v>367</v>
      </c>
      <c r="K50">
        <v>1800</v>
      </c>
      <c r="L50" t="s">
        <v>97</v>
      </c>
      <c r="M50" s="4">
        <f t="shared" si="0"/>
        <v>0</v>
      </c>
      <c r="N50" s="4" t="b">
        <f t="shared" si="1"/>
        <v>0</v>
      </c>
    </row>
    <row r="51" spans="1:14" x14ac:dyDescent="0.2">
      <c r="A51" t="s">
        <v>460</v>
      </c>
      <c r="B51" t="s">
        <v>360</v>
      </c>
      <c r="C51" t="s">
        <v>500</v>
      </c>
      <c r="D51" t="s">
        <v>362</v>
      </c>
      <c r="E51" t="s">
        <v>501</v>
      </c>
      <c r="F51" t="s">
        <v>364</v>
      </c>
      <c r="G51" t="s">
        <v>502</v>
      </c>
      <c r="H51" t="s">
        <v>360</v>
      </c>
      <c r="I51" t="s">
        <v>498</v>
      </c>
      <c r="J51" t="s">
        <v>367</v>
      </c>
      <c r="K51">
        <v>1850</v>
      </c>
      <c r="L51" t="s">
        <v>97</v>
      </c>
      <c r="M51" s="4">
        <f t="shared" si="0"/>
        <v>0</v>
      </c>
      <c r="N51" s="4" t="b">
        <f t="shared" si="1"/>
        <v>0</v>
      </c>
    </row>
    <row r="52" spans="1:14" x14ac:dyDescent="0.2">
      <c r="A52" t="s">
        <v>462</v>
      </c>
      <c r="B52" t="s">
        <v>360</v>
      </c>
      <c r="C52" t="s">
        <v>500</v>
      </c>
      <c r="D52" t="s">
        <v>362</v>
      </c>
      <c r="E52" t="s">
        <v>501</v>
      </c>
      <c r="F52" t="s">
        <v>364</v>
      </c>
      <c r="G52" t="s">
        <v>502</v>
      </c>
      <c r="H52" t="s">
        <v>360</v>
      </c>
      <c r="I52" t="s">
        <v>498</v>
      </c>
      <c r="J52" t="s">
        <v>367</v>
      </c>
      <c r="K52">
        <v>1900</v>
      </c>
      <c r="L52" t="s">
        <v>97</v>
      </c>
      <c r="M52" s="4">
        <f t="shared" si="0"/>
        <v>0</v>
      </c>
      <c r="N52" s="4" t="b">
        <f t="shared" si="1"/>
        <v>0</v>
      </c>
    </row>
    <row r="53" spans="1:14" x14ac:dyDescent="0.2">
      <c r="A53" t="s">
        <v>464</v>
      </c>
      <c r="B53" t="s">
        <v>360</v>
      </c>
      <c r="C53" t="s">
        <v>500</v>
      </c>
      <c r="D53" t="s">
        <v>362</v>
      </c>
      <c r="E53" t="s">
        <v>501</v>
      </c>
      <c r="F53" t="s">
        <v>364</v>
      </c>
      <c r="G53" t="s">
        <v>502</v>
      </c>
      <c r="H53" t="s">
        <v>360</v>
      </c>
      <c r="I53" t="s">
        <v>498</v>
      </c>
      <c r="J53" t="s">
        <v>367</v>
      </c>
      <c r="K53">
        <v>1950</v>
      </c>
      <c r="L53" t="s">
        <v>97</v>
      </c>
      <c r="M53" s="4">
        <f t="shared" si="0"/>
        <v>0</v>
      </c>
      <c r="N53" s="4" t="b">
        <f t="shared" si="1"/>
        <v>0</v>
      </c>
    </row>
    <row r="54" spans="1:14" x14ac:dyDescent="0.2">
      <c r="A54" t="s">
        <v>466</v>
      </c>
      <c r="B54" t="s">
        <v>360</v>
      </c>
      <c r="C54" t="s">
        <v>500</v>
      </c>
      <c r="D54" t="s">
        <v>362</v>
      </c>
      <c r="E54" t="s">
        <v>501</v>
      </c>
      <c r="F54" t="s">
        <v>364</v>
      </c>
      <c r="G54" t="s">
        <v>502</v>
      </c>
      <c r="H54" t="s">
        <v>360</v>
      </c>
      <c r="I54" t="s">
        <v>498</v>
      </c>
      <c r="J54" t="s">
        <v>367</v>
      </c>
      <c r="K54">
        <v>2000</v>
      </c>
      <c r="L54" t="s">
        <v>97</v>
      </c>
      <c r="M54" s="4">
        <f t="shared" si="0"/>
        <v>0</v>
      </c>
      <c r="N54" s="4" t="str">
        <f t="shared" si="1"/>
        <v>SELECT</v>
      </c>
    </row>
    <row r="55" spans="1:14" x14ac:dyDescent="0.2">
      <c r="A55" t="s">
        <v>468</v>
      </c>
      <c r="B55" t="s">
        <v>360</v>
      </c>
      <c r="C55" t="s">
        <v>500</v>
      </c>
      <c r="D55" t="s">
        <v>362</v>
      </c>
      <c r="E55" t="s">
        <v>501</v>
      </c>
      <c r="F55" t="s">
        <v>364</v>
      </c>
      <c r="G55" t="s">
        <v>502</v>
      </c>
      <c r="H55" t="s">
        <v>360</v>
      </c>
      <c r="I55" t="s">
        <v>498</v>
      </c>
      <c r="J55" t="s">
        <v>367</v>
      </c>
      <c r="K55">
        <v>2050</v>
      </c>
      <c r="L55" t="s">
        <v>97</v>
      </c>
      <c r="M55" s="4">
        <f t="shared" si="0"/>
        <v>0</v>
      </c>
      <c r="N55" s="4" t="b">
        <f t="shared" si="1"/>
        <v>0</v>
      </c>
    </row>
    <row r="56" spans="1:14" x14ac:dyDescent="0.2">
      <c r="A56" t="s">
        <v>470</v>
      </c>
      <c r="B56" t="s">
        <v>360</v>
      </c>
      <c r="C56" t="s">
        <v>500</v>
      </c>
      <c r="D56" t="s">
        <v>362</v>
      </c>
      <c r="E56" t="s">
        <v>501</v>
      </c>
      <c r="F56" t="s">
        <v>364</v>
      </c>
      <c r="G56" t="s">
        <v>502</v>
      </c>
      <c r="H56" t="s">
        <v>360</v>
      </c>
      <c r="I56" t="s">
        <v>498</v>
      </c>
      <c r="J56" t="s">
        <v>367</v>
      </c>
      <c r="K56">
        <v>2100</v>
      </c>
      <c r="L56" t="s">
        <v>97</v>
      </c>
      <c r="M56" s="4">
        <f t="shared" si="0"/>
        <v>0</v>
      </c>
      <c r="N56" s="4" t="b">
        <f t="shared" si="1"/>
        <v>0</v>
      </c>
    </row>
    <row r="57" spans="1:14" x14ac:dyDescent="0.2">
      <c r="A57" t="s">
        <v>472</v>
      </c>
      <c r="B57" t="s">
        <v>360</v>
      </c>
      <c r="C57" t="s">
        <v>500</v>
      </c>
      <c r="D57" t="s">
        <v>362</v>
      </c>
      <c r="E57" t="s">
        <v>501</v>
      </c>
      <c r="F57" t="s">
        <v>364</v>
      </c>
      <c r="G57" t="s">
        <v>502</v>
      </c>
      <c r="H57" t="s">
        <v>360</v>
      </c>
      <c r="I57" t="s">
        <v>498</v>
      </c>
      <c r="J57" t="s">
        <v>367</v>
      </c>
      <c r="K57">
        <v>2150</v>
      </c>
      <c r="L57" t="s">
        <v>97</v>
      </c>
      <c r="M57" s="4">
        <f t="shared" si="0"/>
        <v>0</v>
      </c>
      <c r="N57" s="4" t="b">
        <f t="shared" si="1"/>
        <v>0</v>
      </c>
    </row>
    <row r="58" spans="1:14" x14ac:dyDescent="0.2">
      <c r="A58" t="s">
        <v>474</v>
      </c>
      <c r="B58" t="s">
        <v>360</v>
      </c>
      <c r="C58" t="s">
        <v>500</v>
      </c>
      <c r="D58" t="s">
        <v>362</v>
      </c>
      <c r="E58" t="s">
        <v>501</v>
      </c>
      <c r="F58" t="s">
        <v>364</v>
      </c>
      <c r="G58" t="s">
        <v>502</v>
      </c>
      <c r="H58" t="s">
        <v>360</v>
      </c>
      <c r="I58" t="s">
        <v>498</v>
      </c>
      <c r="J58" t="s">
        <v>367</v>
      </c>
      <c r="K58">
        <v>2200</v>
      </c>
      <c r="L58" t="s">
        <v>97</v>
      </c>
      <c r="M58" s="4">
        <f t="shared" si="0"/>
        <v>0</v>
      </c>
      <c r="N58" s="4" t="b">
        <f t="shared" si="1"/>
        <v>0</v>
      </c>
    </row>
    <row r="59" spans="1:14" x14ac:dyDescent="0.2">
      <c r="A59" t="s">
        <v>476</v>
      </c>
      <c r="B59" t="s">
        <v>360</v>
      </c>
      <c r="C59" t="s">
        <v>500</v>
      </c>
      <c r="D59" t="s">
        <v>362</v>
      </c>
      <c r="E59" t="s">
        <v>501</v>
      </c>
      <c r="F59" t="s">
        <v>364</v>
      </c>
      <c r="G59" t="s">
        <v>502</v>
      </c>
      <c r="H59" t="s">
        <v>360</v>
      </c>
      <c r="I59" t="s">
        <v>498</v>
      </c>
      <c r="J59" t="s">
        <v>367</v>
      </c>
      <c r="K59">
        <v>2250</v>
      </c>
      <c r="L59" t="s">
        <v>97</v>
      </c>
      <c r="M59" s="4">
        <f t="shared" si="0"/>
        <v>0</v>
      </c>
      <c r="N59" s="4" t="b">
        <f t="shared" si="1"/>
        <v>0</v>
      </c>
    </row>
    <row r="60" spans="1:14" x14ac:dyDescent="0.2">
      <c r="A60" t="s">
        <v>478</v>
      </c>
      <c r="B60" t="s">
        <v>360</v>
      </c>
      <c r="C60" t="s">
        <v>500</v>
      </c>
      <c r="D60" t="s">
        <v>362</v>
      </c>
      <c r="E60" t="s">
        <v>501</v>
      </c>
      <c r="F60" t="s">
        <v>364</v>
      </c>
      <c r="G60" t="s">
        <v>502</v>
      </c>
      <c r="H60" t="s">
        <v>360</v>
      </c>
      <c r="I60" t="s">
        <v>498</v>
      </c>
      <c r="J60" t="s">
        <v>367</v>
      </c>
      <c r="K60">
        <v>2300</v>
      </c>
      <c r="L60" t="s">
        <v>97</v>
      </c>
      <c r="M60" s="4">
        <f t="shared" si="0"/>
        <v>0</v>
      </c>
      <c r="N60" s="4" t="b">
        <f t="shared" si="1"/>
        <v>0</v>
      </c>
    </row>
    <row r="61" spans="1:14" x14ac:dyDescent="0.2">
      <c r="A61" t="s">
        <v>480</v>
      </c>
      <c r="B61" t="s">
        <v>360</v>
      </c>
      <c r="C61" t="s">
        <v>500</v>
      </c>
      <c r="D61" t="s">
        <v>362</v>
      </c>
      <c r="E61" t="s">
        <v>501</v>
      </c>
      <c r="F61" t="s">
        <v>364</v>
      </c>
      <c r="G61" t="s">
        <v>502</v>
      </c>
      <c r="H61" t="s">
        <v>360</v>
      </c>
      <c r="I61" t="s">
        <v>498</v>
      </c>
      <c r="J61" t="s">
        <v>367</v>
      </c>
      <c r="K61">
        <v>2350</v>
      </c>
      <c r="L61" t="s">
        <v>97</v>
      </c>
      <c r="M61" s="4">
        <f t="shared" si="0"/>
        <v>0</v>
      </c>
      <c r="N61" s="4" t="b">
        <f t="shared" si="1"/>
        <v>0</v>
      </c>
    </row>
    <row r="62" spans="1:14" x14ac:dyDescent="0.2">
      <c r="A62" t="s">
        <v>482</v>
      </c>
      <c r="B62" t="s">
        <v>360</v>
      </c>
      <c r="C62" t="s">
        <v>500</v>
      </c>
      <c r="D62" t="s">
        <v>362</v>
      </c>
      <c r="E62" t="s">
        <v>501</v>
      </c>
      <c r="F62" t="s">
        <v>364</v>
      </c>
      <c r="G62" t="s">
        <v>502</v>
      </c>
      <c r="H62" t="s">
        <v>360</v>
      </c>
      <c r="I62" t="s">
        <v>498</v>
      </c>
      <c r="J62" t="s">
        <v>367</v>
      </c>
      <c r="K62">
        <v>2400</v>
      </c>
      <c r="L62" t="s">
        <v>97</v>
      </c>
      <c r="M62" s="4">
        <f t="shared" si="0"/>
        <v>0</v>
      </c>
      <c r="N62" s="4" t="b">
        <f t="shared" si="1"/>
        <v>0</v>
      </c>
    </row>
    <row r="63" spans="1:14" x14ac:dyDescent="0.2">
      <c r="A63" t="s">
        <v>483</v>
      </c>
      <c r="B63" t="s">
        <v>360</v>
      </c>
      <c r="C63" t="s">
        <v>500</v>
      </c>
      <c r="D63" t="s">
        <v>362</v>
      </c>
      <c r="E63" t="s">
        <v>501</v>
      </c>
      <c r="F63" t="s">
        <v>364</v>
      </c>
      <c r="G63" t="s">
        <v>502</v>
      </c>
      <c r="H63" t="s">
        <v>360</v>
      </c>
      <c r="I63" t="s">
        <v>498</v>
      </c>
      <c r="J63" t="s">
        <v>367</v>
      </c>
      <c r="K63">
        <v>2450</v>
      </c>
      <c r="L63" t="s">
        <v>97</v>
      </c>
      <c r="M63" s="4">
        <f t="shared" si="0"/>
        <v>0</v>
      </c>
      <c r="N63" s="4" t="b">
        <f t="shared" si="1"/>
        <v>0</v>
      </c>
    </row>
    <row r="64" spans="1:14" x14ac:dyDescent="0.2">
      <c r="A64" t="s">
        <v>484</v>
      </c>
      <c r="B64" t="s">
        <v>360</v>
      </c>
      <c r="C64" t="s">
        <v>500</v>
      </c>
      <c r="D64" t="s">
        <v>362</v>
      </c>
      <c r="E64" t="s">
        <v>501</v>
      </c>
      <c r="F64" t="s">
        <v>364</v>
      </c>
      <c r="G64" t="s">
        <v>502</v>
      </c>
      <c r="H64" t="s">
        <v>360</v>
      </c>
      <c r="I64" t="s">
        <v>498</v>
      </c>
      <c r="J64" t="s">
        <v>367</v>
      </c>
      <c r="K64">
        <v>2500</v>
      </c>
      <c r="L64" t="s">
        <v>97</v>
      </c>
      <c r="M64" s="4">
        <f t="shared" si="0"/>
        <v>0</v>
      </c>
      <c r="N64" s="4" t="b">
        <f t="shared" si="1"/>
        <v>0</v>
      </c>
    </row>
  </sheetData>
  <phoneticPr fontId="51" type="noConversion"/>
  <pageMargins left="0.25" right="0.25" top="0.75" bottom="0.65" header="0.3" footer="0.3"/>
  <headerFooter scaleWithDoc="0">
    <oddFooter xml:space="preserve">&amp;L&amp;"Arial"&amp;8 80-NH713-1 YG
&amp;C&amp;"Arial"&amp;8Confidential – Qualcomm Technologies, Inc. and/or its affiliated companies – May Contain Trade Secrets
&amp;"Arial,Bold"&amp;8MAY CONTAIN U.S. AND INTERNATIONAL EXPORT CONTROLLED INFORMATION&amp;R&amp;"Arial"&amp;8 &amp;P
</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pageSetUpPr fitToPage="1"/>
  </sheetPr>
  <dimension ref="A1:S64"/>
  <sheetViews>
    <sheetView workbookViewId="0"/>
  </sheetViews>
  <sheetFormatPr defaultColWidth="9.140625" defaultRowHeight="12.75" x14ac:dyDescent="0.2"/>
  <cols>
    <col min="1" max="1" width="14.28515625" bestFit="1" customWidth="1"/>
    <col min="2" max="2" width="3.140625" bestFit="1" customWidth="1"/>
    <col min="3" max="3" width="21" bestFit="1" customWidth="1"/>
    <col min="4" max="4" width="2" bestFit="1" customWidth="1"/>
    <col min="5" max="5" width="28.42578125" bestFit="1" customWidth="1"/>
    <col min="6" max="6" width="2" bestFit="1" customWidth="1"/>
    <col min="7" max="7" width="25" bestFit="1" customWidth="1"/>
    <col min="8" max="8" width="1.5703125" bestFit="1" customWidth="1"/>
    <col min="9" max="9" width="10.7109375" bestFit="1" customWidth="1"/>
    <col min="10" max="10" width="2.7109375" bestFit="1" customWidth="1"/>
    <col min="11" max="11" width="5" bestFit="1" customWidth="1"/>
    <col min="12" max="12" width="5.85546875" bestFit="1" customWidth="1"/>
    <col min="13" max="13" width="21" style="4" bestFit="1" customWidth="1"/>
  </cols>
  <sheetData>
    <row r="1" spans="1:19" x14ac:dyDescent="0.2">
      <c r="M1" s="4" t="s">
        <v>503</v>
      </c>
      <c r="O1" s="4" t="s">
        <v>358</v>
      </c>
      <c r="P1" s="112">
        <f>'SDM439 DPHY timing'!B3</f>
        <v>2010</v>
      </c>
      <c r="Q1" s="4"/>
      <c r="R1" s="4" t="s">
        <v>485</v>
      </c>
      <c r="S1" s="4">
        <f>LOOKUP("SELECT",N2:N64,M2:M64)</f>
        <v>21</v>
      </c>
    </row>
    <row r="2" spans="1:19" x14ac:dyDescent="0.2">
      <c r="A2" t="s">
        <v>359</v>
      </c>
      <c r="B2" t="s">
        <v>360</v>
      </c>
      <c r="C2" t="s">
        <v>504</v>
      </c>
      <c r="D2" t="s">
        <v>362</v>
      </c>
      <c r="E2" t="s">
        <v>505</v>
      </c>
      <c r="F2" t="s">
        <v>364</v>
      </c>
      <c r="G2" t="s">
        <v>506</v>
      </c>
      <c r="H2" t="s">
        <v>360</v>
      </c>
      <c r="I2" t="s">
        <v>507</v>
      </c>
      <c r="J2" t="s">
        <v>367</v>
      </c>
      <c r="K2">
        <v>80</v>
      </c>
      <c r="L2" t="s">
        <v>97</v>
      </c>
      <c r="M2" s="4">
        <f>_xlfn.NUMBERVALUE(MID(I2,5,2))</f>
        <v>0</v>
      </c>
      <c r="N2" s="4" t="b">
        <f>IF($P$1&gt;=K2,IF($P$1&lt;K3,"SELECT"))</f>
        <v>0</v>
      </c>
    </row>
    <row r="3" spans="1:19" x14ac:dyDescent="0.2">
      <c r="A3" t="s">
        <v>368</v>
      </c>
      <c r="B3" t="s">
        <v>360</v>
      </c>
      <c r="C3" t="s">
        <v>504</v>
      </c>
      <c r="D3" t="s">
        <v>362</v>
      </c>
      <c r="E3" t="s">
        <v>505</v>
      </c>
      <c r="F3" t="s">
        <v>364</v>
      </c>
      <c r="G3" t="s">
        <v>506</v>
      </c>
      <c r="H3" t="s">
        <v>360</v>
      </c>
      <c r="I3" t="s">
        <v>507</v>
      </c>
      <c r="J3" t="s">
        <v>367</v>
      </c>
      <c r="K3">
        <v>90</v>
      </c>
      <c r="L3" t="s">
        <v>97</v>
      </c>
      <c r="M3" s="4">
        <f t="shared" ref="M3:M64" si="0">_xlfn.NUMBERVALUE(MID(I3,5,2))</f>
        <v>0</v>
      </c>
      <c r="N3" s="4" t="b">
        <f t="shared" ref="N3:N64" si="1">IF($P$1&gt;=K3,IF($P$1&lt;K4,"SELECT"))</f>
        <v>0</v>
      </c>
    </row>
    <row r="4" spans="1:19" x14ac:dyDescent="0.2">
      <c r="A4" t="s">
        <v>370</v>
      </c>
      <c r="B4" t="s">
        <v>360</v>
      </c>
      <c r="C4" t="s">
        <v>504</v>
      </c>
      <c r="D4" t="s">
        <v>362</v>
      </c>
      <c r="E4" t="s">
        <v>505</v>
      </c>
      <c r="F4" t="s">
        <v>364</v>
      </c>
      <c r="G4" t="s">
        <v>506</v>
      </c>
      <c r="H4" t="s">
        <v>360</v>
      </c>
      <c r="I4" t="s">
        <v>507</v>
      </c>
      <c r="J4" t="s">
        <v>367</v>
      </c>
      <c r="K4">
        <v>100</v>
      </c>
      <c r="L4" t="s">
        <v>97</v>
      </c>
      <c r="M4" s="4">
        <f t="shared" si="0"/>
        <v>0</v>
      </c>
      <c r="N4" s="4" t="b">
        <f t="shared" si="1"/>
        <v>0</v>
      </c>
    </row>
    <row r="5" spans="1:19" x14ac:dyDescent="0.2">
      <c r="A5" t="s">
        <v>371</v>
      </c>
      <c r="B5" t="s">
        <v>360</v>
      </c>
      <c r="C5" t="s">
        <v>504</v>
      </c>
      <c r="D5" t="s">
        <v>362</v>
      </c>
      <c r="E5" t="s">
        <v>505</v>
      </c>
      <c r="F5" t="s">
        <v>364</v>
      </c>
      <c r="G5" t="s">
        <v>506</v>
      </c>
      <c r="H5" t="s">
        <v>360</v>
      </c>
      <c r="I5" t="s">
        <v>507</v>
      </c>
      <c r="J5" t="s">
        <v>367</v>
      </c>
      <c r="K5">
        <v>110</v>
      </c>
      <c r="L5" t="s">
        <v>97</v>
      </c>
      <c r="M5" s="4">
        <f t="shared" si="0"/>
        <v>0</v>
      </c>
      <c r="N5" s="4" t="b">
        <f t="shared" si="1"/>
        <v>0</v>
      </c>
    </row>
    <row r="6" spans="1:19" x14ac:dyDescent="0.2">
      <c r="A6" t="s">
        <v>373</v>
      </c>
      <c r="B6" t="s">
        <v>360</v>
      </c>
      <c r="C6" t="s">
        <v>504</v>
      </c>
      <c r="D6" t="s">
        <v>362</v>
      </c>
      <c r="E6" t="s">
        <v>505</v>
      </c>
      <c r="F6" t="s">
        <v>364</v>
      </c>
      <c r="G6" t="s">
        <v>506</v>
      </c>
      <c r="H6" t="s">
        <v>360</v>
      </c>
      <c r="I6" t="s">
        <v>508</v>
      </c>
      <c r="J6" t="s">
        <v>367</v>
      </c>
      <c r="K6">
        <v>120</v>
      </c>
      <c r="L6" t="s">
        <v>97</v>
      </c>
      <c r="M6" s="4">
        <f t="shared" si="0"/>
        <v>1</v>
      </c>
      <c r="N6" s="4" t="b">
        <f t="shared" si="1"/>
        <v>0</v>
      </c>
    </row>
    <row r="7" spans="1:19" x14ac:dyDescent="0.2">
      <c r="A7" t="s">
        <v>375</v>
      </c>
      <c r="B7" t="s">
        <v>360</v>
      </c>
      <c r="C7" t="s">
        <v>504</v>
      </c>
      <c r="D7" t="s">
        <v>362</v>
      </c>
      <c r="E7" t="s">
        <v>505</v>
      </c>
      <c r="F7" t="s">
        <v>364</v>
      </c>
      <c r="G7" t="s">
        <v>506</v>
      </c>
      <c r="H7" t="s">
        <v>360</v>
      </c>
      <c r="I7" t="s">
        <v>508</v>
      </c>
      <c r="J7" t="s">
        <v>367</v>
      </c>
      <c r="K7">
        <v>130</v>
      </c>
      <c r="L7" t="s">
        <v>97</v>
      </c>
      <c r="M7" s="4">
        <f t="shared" si="0"/>
        <v>1</v>
      </c>
      <c r="N7" s="4" t="b">
        <f t="shared" si="1"/>
        <v>0</v>
      </c>
    </row>
    <row r="8" spans="1:19" x14ac:dyDescent="0.2">
      <c r="A8" t="s">
        <v>376</v>
      </c>
      <c r="B8" t="s">
        <v>360</v>
      </c>
      <c r="C8" t="s">
        <v>504</v>
      </c>
      <c r="D8" t="s">
        <v>362</v>
      </c>
      <c r="E8" t="s">
        <v>505</v>
      </c>
      <c r="F8" t="s">
        <v>364</v>
      </c>
      <c r="G8" t="s">
        <v>506</v>
      </c>
      <c r="H8" t="s">
        <v>360</v>
      </c>
      <c r="I8" t="s">
        <v>508</v>
      </c>
      <c r="J8" t="s">
        <v>367</v>
      </c>
      <c r="K8">
        <v>140</v>
      </c>
      <c r="L8" t="s">
        <v>97</v>
      </c>
      <c r="M8" s="4">
        <f t="shared" si="0"/>
        <v>1</v>
      </c>
      <c r="N8" s="4" t="b">
        <f t="shared" si="1"/>
        <v>0</v>
      </c>
    </row>
    <row r="9" spans="1:19" x14ac:dyDescent="0.2">
      <c r="A9" t="s">
        <v>378</v>
      </c>
      <c r="B9" t="s">
        <v>360</v>
      </c>
      <c r="C9" t="s">
        <v>504</v>
      </c>
      <c r="D9" t="s">
        <v>362</v>
      </c>
      <c r="E9" t="s">
        <v>505</v>
      </c>
      <c r="F9" t="s">
        <v>364</v>
      </c>
      <c r="G9" t="s">
        <v>506</v>
      </c>
      <c r="H9" t="s">
        <v>360</v>
      </c>
      <c r="I9" t="s">
        <v>508</v>
      </c>
      <c r="J9" t="s">
        <v>367</v>
      </c>
      <c r="K9">
        <v>150</v>
      </c>
      <c r="L9" t="s">
        <v>97</v>
      </c>
      <c r="M9" s="4">
        <f t="shared" si="0"/>
        <v>1</v>
      </c>
      <c r="N9" s="4" t="b">
        <f t="shared" si="1"/>
        <v>0</v>
      </c>
    </row>
    <row r="10" spans="1:19" x14ac:dyDescent="0.2">
      <c r="A10" t="s">
        <v>380</v>
      </c>
      <c r="B10" t="s">
        <v>360</v>
      </c>
      <c r="C10" t="s">
        <v>504</v>
      </c>
      <c r="D10" t="s">
        <v>362</v>
      </c>
      <c r="E10" t="s">
        <v>505</v>
      </c>
      <c r="F10" t="s">
        <v>364</v>
      </c>
      <c r="G10" t="s">
        <v>506</v>
      </c>
      <c r="H10" t="s">
        <v>360</v>
      </c>
      <c r="I10" t="s">
        <v>508</v>
      </c>
      <c r="J10" t="s">
        <v>367</v>
      </c>
      <c r="K10">
        <v>160</v>
      </c>
      <c r="L10" t="s">
        <v>97</v>
      </c>
      <c r="M10" s="4">
        <f t="shared" si="0"/>
        <v>1</v>
      </c>
      <c r="N10" s="4" t="b">
        <f t="shared" si="1"/>
        <v>0</v>
      </c>
    </row>
    <row r="11" spans="1:19" x14ac:dyDescent="0.2">
      <c r="A11" t="s">
        <v>381</v>
      </c>
      <c r="B11" t="s">
        <v>360</v>
      </c>
      <c r="C11" t="s">
        <v>504</v>
      </c>
      <c r="D11" t="s">
        <v>362</v>
      </c>
      <c r="E11" t="s">
        <v>505</v>
      </c>
      <c r="F11" t="s">
        <v>364</v>
      </c>
      <c r="G11" t="s">
        <v>506</v>
      </c>
      <c r="H11" t="s">
        <v>360</v>
      </c>
      <c r="I11" t="s">
        <v>508</v>
      </c>
      <c r="J11" t="s">
        <v>367</v>
      </c>
      <c r="K11">
        <v>170</v>
      </c>
      <c r="L11" t="s">
        <v>97</v>
      </c>
      <c r="M11" s="4">
        <f t="shared" si="0"/>
        <v>1</v>
      </c>
      <c r="N11" s="4" t="b">
        <f t="shared" si="1"/>
        <v>0</v>
      </c>
    </row>
    <row r="12" spans="1:19" x14ac:dyDescent="0.2">
      <c r="A12" t="s">
        <v>383</v>
      </c>
      <c r="B12" t="s">
        <v>360</v>
      </c>
      <c r="C12" t="s">
        <v>504</v>
      </c>
      <c r="D12" t="s">
        <v>362</v>
      </c>
      <c r="E12" t="s">
        <v>505</v>
      </c>
      <c r="F12" t="s">
        <v>364</v>
      </c>
      <c r="G12" t="s">
        <v>506</v>
      </c>
      <c r="H12" t="s">
        <v>360</v>
      </c>
      <c r="I12" t="s">
        <v>508</v>
      </c>
      <c r="J12" t="s">
        <v>367</v>
      </c>
      <c r="K12">
        <v>180</v>
      </c>
      <c r="L12" t="s">
        <v>97</v>
      </c>
      <c r="M12" s="4">
        <f t="shared" si="0"/>
        <v>1</v>
      </c>
      <c r="N12" s="4" t="b">
        <f t="shared" si="1"/>
        <v>0</v>
      </c>
    </row>
    <row r="13" spans="1:19" x14ac:dyDescent="0.2">
      <c r="A13" t="s">
        <v>384</v>
      </c>
      <c r="B13" t="s">
        <v>360</v>
      </c>
      <c r="C13" t="s">
        <v>504</v>
      </c>
      <c r="D13" t="s">
        <v>362</v>
      </c>
      <c r="E13" t="s">
        <v>505</v>
      </c>
      <c r="F13" t="s">
        <v>364</v>
      </c>
      <c r="G13" t="s">
        <v>506</v>
      </c>
      <c r="H13" t="s">
        <v>360</v>
      </c>
      <c r="I13" t="s">
        <v>508</v>
      </c>
      <c r="J13" t="s">
        <v>367</v>
      </c>
      <c r="K13">
        <v>190</v>
      </c>
      <c r="L13" t="s">
        <v>97</v>
      </c>
      <c r="M13" s="4">
        <f t="shared" si="0"/>
        <v>1</v>
      </c>
      <c r="N13" s="4" t="b">
        <f t="shared" si="1"/>
        <v>0</v>
      </c>
    </row>
    <row r="14" spans="1:19" x14ac:dyDescent="0.2">
      <c r="A14" t="s">
        <v>386</v>
      </c>
      <c r="B14" t="s">
        <v>360</v>
      </c>
      <c r="C14" t="s">
        <v>504</v>
      </c>
      <c r="D14" t="s">
        <v>362</v>
      </c>
      <c r="E14" t="s">
        <v>505</v>
      </c>
      <c r="F14" t="s">
        <v>364</v>
      </c>
      <c r="G14" t="s">
        <v>506</v>
      </c>
      <c r="H14" t="s">
        <v>360</v>
      </c>
      <c r="I14" t="s">
        <v>508</v>
      </c>
      <c r="J14" t="s">
        <v>367</v>
      </c>
      <c r="K14">
        <v>205</v>
      </c>
      <c r="L14" t="s">
        <v>97</v>
      </c>
      <c r="M14" s="4">
        <f t="shared" si="0"/>
        <v>1</v>
      </c>
      <c r="N14" s="4" t="b">
        <f t="shared" si="1"/>
        <v>0</v>
      </c>
    </row>
    <row r="15" spans="1:19" x14ac:dyDescent="0.2">
      <c r="A15" t="s">
        <v>388</v>
      </c>
      <c r="B15" t="s">
        <v>360</v>
      </c>
      <c r="C15" t="s">
        <v>504</v>
      </c>
      <c r="D15" t="s">
        <v>362</v>
      </c>
      <c r="E15" t="s">
        <v>505</v>
      </c>
      <c r="F15" t="s">
        <v>364</v>
      </c>
      <c r="G15" t="s">
        <v>506</v>
      </c>
      <c r="H15" t="s">
        <v>360</v>
      </c>
      <c r="I15" t="s">
        <v>509</v>
      </c>
      <c r="J15" t="s">
        <v>367</v>
      </c>
      <c r="K15">
        <v>220</v>
      </c>
      <c r="L15" t="s">
        <v>97</v>
      </c>
      <c r="M15" s="4">
        <f t="shared" si="0"/>
        <v>2</v>
      </c>
      <c r="N15" s="4" t="b">
        <f t="shared" si="1"/>
        <v>0</v>
      </c>
    </row>
    <row r="16" spans="1:19" x14ac:dyDescent="0.2">
      <c r="A16" t="s">
        <v>390</v>
      </c>
      <c r="B16" t="s">
        <v>360</v>
      </c>
      <c r="C16" t="s">
        <v>504</v>
      </c>
      <c r="D16" t="s">
        <v>362</v>
      </c>
      <c r="E16" t="s">
        <v>505</v>
      </c>
      <c r="F16" t="s">
        <v>364</v>
      </c>
      <c r="G16" t="s">
        <v>506</v>
      </c>
      <c r="H16" t="s">
        <v>360</v>
      </c>
      <c r="I16" t="s">
        <v>509</v>
      </c>
      <c r="J16" t="s">
        <v>367</v>
      </c>
      <c r="K16">
        <v>235</v>
      </c>
      <c r="L16" t="s">
        <v>97</v>
      </c>
      <c r="M16" s="4">
        <f t="shared" si="0"/>
        <v>2</v>
      </c>
      <c r="N16" s="4" t="b">
        <f t="shared" si="1"/>
        <v>0</v>
      </c>
    </row>
    <row r="17" spans="1:14" x14ac:dyDescent="0.2">
      <c r="A17" t="s">
        <v>392</v>
      </c>
      <c r="B17" t="s">
        <v>360</v>
      </c>
      <c r="C17" t="s">
        <v>504</v>
      </c>
      <c r="D17" t="s">
        <v>362</v>
      </c>
      <c r="E17" t="s">
        <v>505</v>
      </c>
      <c r="F17" t="s">
        <v>364</v>
      </c>
      <c r="G17" t="s">
        <v>506</v>
      </c>
      <c r="H17" t="s">
        <v>360</v>
      </c>
      <c r="I17" t="s">
        <v>509</v>
      </c>
      <c r="J17" t="s">
        <v>367</v>
      </c>
      <c r="K17">
        <v>250</v>
      </c>
      <c r="L17" t="s">
        <v>97</v>
      </c>
      <c r="M17" s="4">
        <f t="shared" si="0"/>
        <v>2</v>
      </c>
      <c r="N17" s="4" t="b">
        <f t="shared" si="1"/>
        <v>0</v>
      </c>
    </row>
    <row r="18" spans="1:14" x14ac:dyDescent="0.2">
      <c r="A18" t="s">
        <v>394</v>
      </c>
      <c r="B18" t="s">
        <v>360</v>
      </c>
      <c r="C18" t="s">
        <v>504</v>
      </c>
      <c r="D18" t="s">
        <v>362</v>
      </c>
      <c r="E18" t="s">
        <v>505</v>
      </c>
      <c r="F18" t="s">
        <v>364</v>
      </c>
      <c r="G18" t="s">
        <v>506</v>
      </c>
      <c r="H18" t="s">
        <v>360</v>
      </c>
      <c r="I18" t="s">
        <v>509</v>
      </c>
      <c r="J18" t="s">
        <v>367</v>
      </c>
      <c r="K18">
        <v>275</v>
      </c>
      <c r="L18" t="s">
        <v>97</v>
      </c>
      <c r="M18" s="4">
        <f t="shared" si="0"/>
        <v>2</v>
      </c>
      <c r="N18" s="4" t="b">
        <f t="shared" si="1"/>
        <v>0</v>
      </c>
    </row>
    <row r="19" spans="1:14" x14ac:dyDescent="0.2">
      <c r="A19" t="s">
        <v>396</v>
      </c>
      <c r="B19" t="s">
        <v>360</v>
      </c>
      <c r="C19" t="s">
        <v>504</v>
      </c>
      <c r="D19" t="s">
        <v>362</v>
      </c>
      <c r="E19" t="s">
        <v>505</v>
      </c>
      <c r="F19" t="s">
        <v>364</v>
      </c>
      <c r="G19" t="s">
        <v>506</v>
      </c>
      <c r="H19" t="s">
        <v>360</v>
      </c>
      <c r="I19" t="s">
        <v>509</v>
      </c>
      <c r="J19" t="s">
        <v>367</v>
      </c>
      <c r="K19">
        <v>300</v>
      </c>
      <c r="L19" t="s">
        <v>97</v>
      </c>
      <c r="M19" s="4">
        <f t="shared" si="0"/>
        <v>2</v>
      </c>
      <c r="N19" s="4" t="b">
        <f t="shared" si="1"/>
        <v>0</v>
      </c>
    </row>
    <row r="20" spans="1:14" x14ac:dyDescent="0.2">
      <c r="A20" t="s">
        <v>398</v>
      </c>
      <c r="B20" t="s">
        <v>360</v>
      </c>
      <c r="C20" t="s">
        <v>504</v>
      </c>
      <c r="D20" t="s">
        <v>362</v>
      </c>
      <c r="E20" t="s">
        <v>505</v>
      </c>
      <c r="F20" t="s">
        <v>364</v>
      </c>
      <c r="G20" t="s">
        <v>506</v>
      </c>
      <c r="H20" t="s">
        <v>360</v>
      </c>
      <c r="I20" t="s">
        <v>510</v>
      </c>
      <c r="J20" t="s">
        <v>367</v>
      </c>
      <c r="K20">
        <v>325</v>
      </c>
      <c r="L20" t="s">
        <v>97</v>
      </c>
      <c r="M20" s="4">
        <f t="shared" si="0"/>
        <v>3</v>
      </c>
      <c r="N20" s="4" t="b">
        <f t="shared" si="1"/>
        <v>0</v>
      </c>
    </row>
    <row r="21" spans="1:14" x14ac:dyDescent="0.2">
      <c r="A21" t="s">
        <v>400</v>
      </c>
      <c r="B21" t="s">
        <v>360</v>
      </c>
      <c r="C21" t="s">
        <v>504</v>
      </c>
      <c r="D21" t="s">
        <v>362</v>
      </c>
      <c r="E21" t="s">
        <v>505</v>
      </c>
      <c r="F21" t="s">
        <v>364</v>
      </c>
      <c r="G21" t="s">
        <v>506</v>
      </c>
      <c r="H21" t="s">
        <v>360</v>
      </c>
      <c r="I21" t="s">
        <v>510</v>
      </c>
      <c r="J21" t="s">
        <v>367</v>
      </c>
      <c r="K21">
        <v>350</v>
      </c>
      <c r="L21" t="s">
        <v>97</v>
      </c>
      <c r="M21" s="4">
        <f t="shared" si="0"/>
        <v>3</v>
      </c>
      <c r="N21" s="4" t="b">
        <f t="shared" si="1"/>
        <v>0</v>
      </c>
    </row>
    <row r="22" spans="1:14" x14ac:dyDescent="0.2">
      <c r="A22" t="s">
        <v>402</v>
      </c>
      <c r="B22" t="s">
        <v>360</v>
      </c>
      <c r="C22" t="s">
        <v>504</v>
      </c>
      <c r="D22" t="s">
        <v>362</v>
      </c>
      <c r="E22" t="s">
        <v>505</v>
      </c>
      <c r="F22" t="s">
        <v>364</v>
      </c>
      <c r="G22" t="s">
        <v>506</v>
      </c>
      <c r="H22" t="s">
        <v>360</v>
      </c>
      <c r="I22" t="s">
        <v>511</v>
      </c>
      <c r="J22" t="s">
        <v>367</v>
      </c>
      <c r="K22">
        <v>400</v>
      </c>
      <c r="L22" t="s">
        <v>97</v>
      </c>
      <c r="M22" s="4">
        <f t="shared" si="0"/>
        <v>4</v>
      </c>
      <c r="N22" s="4" t="b">
        <f t="shared" si="1"/>
        <v>0</v>
      </c>
    </row>
    <row r="23" spans="1:14" x14ac:dyDescent="0.2">
      <c r="A23" t="s">
        <v>404</v>
      </c>
      <c r="B23" t="s">
        <v>360</v>
      </c>
      <c r="C23" t="s">
        <v>504</v>
      </c>
      <c r="D23" t="s">
        <v>362</v>
      </c>
      <c r="E23" t="s">
        <v>505</v>
      </c>
      <c r="F23" t="s">
        <v>364</v>
      </c>
      <c r="G23" t="s">
        <v>506</v>
      </c>
      <c r="H23" t="s">
        <v>360</v>
      </c>
      <c r="I23" t="s">
        <v>512</v>
      </c>
      <c r="J23" t="s">
        <v>367</v>
      </c>
      <c r="K23">
        <v>450</v>
      </c>
      <c r="L23" t="s">
        <v>97</v>
      </c>
      <c r="M23" s="4">
        <f t="shared" si="0"/>
        <v>5</v>
      </c>
      <c r="N23" s="4" t="b">
        <f t="shared" si="1"/>
        <v>0</v>
      </c>
    </row>
    <row r="24" spans="1:14" x14ac:dyDescent="0.2">
      <c r="A24" t="s">
        <v>406</v>
      </c>
      <c r="B24" t="s">
        <v>360</v>
      </c>
      <c r="C24" t="s">
        <v>504</v>
      </c>
      <c r="D24" t="s">
        <v>362</v>
      </c>
      <c r="E24" t="s">
        <v>505</v>
      </c>
      <c r="F24" t="s">
        <v>364</v>
      </c>
      <c r="G24" t="s">
        <v>506</v>
      </c>
      <c r="H24" t="s">
        <v>360</v>
      </c>
      <c r="I24" t="s">
        <v>512</v>
      </c>
      <c r="J24" t="s">
        <v>367</v>
      </c>
      <c r="K24">
        <v>500</v>
      </c>
      <c r="L24" t="s">
        <v>97</v>
      </c>
      <c r="M24" s="4">
        <f t="shared" si="0"/>
        <v>5</v>
      </c>
      <c r="N24" s="4" t="b">
        <f t="shared" si="1"/>
        <v>0</v>
      </c>
    </row>
    <row r="25" spans="1:14" x14ac:dyDescent="0.2">
      <c r="A25" t="s">
        <v>408</v>
      </c>
      <c r="B25" t="s">
        <v>360</v>
      </c>
      <c r="C25" t="s">
        <v>504</v>
      </c>
      <c r="D25" t="s">
        <v>362</v>
      </c>
      <c r="E25" t="s">
        <v>505</v>
      </c>
      <c r="F25" t="s">
        <v>364</v>
      </c>
      <c r="G25" t="s">
        <v>506</v>
      </c>
      <c r="H25" t="s">
        <v>360</v>
      </c>
      <c r="I25" t="s">
        <v>513</v>
      </c>
      <c r="J25" t="s">
        <v>367</v>
      </c>
      <c r="K25">
        <v>550</v>
      </c>
      <c r="L25" t="s">
        <v>97</v>
      </c>
      <c r="M25" s="4">
        <f t="shared" si="0"/>
        <v>6</v>
      </c>
      <c r="N25" s="4" t="b">
        <f t="shared" si="1"/>
        <v>0</v>
      </c>
    </row>
    <row r="26" spans="1:14" x14ac:dyDescent="0.2">
      <c r="A26" t="s">
        <v>410</v>
      </c>
      <c r="B26" t="s">
        <v>360</v>
      </c>
      <c r="C26" t="s">
        <v>504</v>
      </c>
      <c r="D26" t="s">
        <v>362</v>
      </c>
      <c r="E26" t="s">
        <v>505</v>
      </c>
      <c r="F26" t="s">
        <v>364</v>
      </c>
      <c r="G26" t="s">
        <v>506</v>
      </c>
      <c r="H26" t="s">
        <v>360</v>
      </c>
      <c r="I26" t="s">
        <v>513</v>
      </c>
      <c r="J26" t="s">
        <v>367</v>
      </c>
      <c r="K26">
        <v>600</v>
      </c>
      <c r="L26" t="s">
        <v>97</v>
      </c>
      <c r="M26" s="4">
        <f t="shared" si="0"/>
        <v>6</v>
      </c>
      <c r="N26" s="4" t="b">
        <f t="shared" si="1"/>
        <v>0</v>
      </c>
    </row>
    <row r="27" spans="1:14" x14ac:dyDescent="0.2">
      <c r="A27" t="s">
        <v>412</v>
      </c>
      <c r="B27" t="s">
        <v>360</v>
      </c>
      <c r="C27" t="s">
        <v>504</v>
      </c>
      <c r="D27" t="s">
        <v>362</v>
      </c>
      <c r="E27" t="s">
        <v>505</v>
      </c>
      <c r="F27" t="s">
        <v>364</v>
      </c>
      <c r="G27" t="s">
        <v>506</v>
      </c>
      <c r="H27" t="s">
        <v>360</v>
      </c>
      <c r="I27" t="s">
        <v>514</v>
      </c>
      <c r="J27" t="s">
        <v>367</v>
      </c>
      <c r="K27">
        <v>650</v>
      </c>
      <c r="L27" t="s">
        <v>97</v>
      </c>
      <c r="M27" s="4">
        <f t="shared" si="0"/>
        <v>7</v>
      </c>
      <c r="N27" s="4" t="b">
        <f t="shared" si="1"/>
        <v>0</v>
      </c>
    </row>
    <row r="28" spans="1:14" x14ac:dyDescent="0.2">
      <c r="A28" t="s">
        <v>414</v>
      </c>
      <c r="B28" t="s">
        <v>360</v>
      </c>
      <c r="C28" t="s">
        <v>504</v>
      </c>
      <c r="D28" t="s">
        <v>362</v>
      </c>
      <c r="E28" t="s">
        <v>505</v>
      </c>
      <c r="F28" t="s">
        <v>364</v>
      </c>
      <c r="G28" t="s">
        <v>506</v>
      </c>
      <c r="H28" t="s">
        <v>360</v>
      </c>
      <c r="I28" t="s">
        <v>515</v>
      </c>
      <c r="J28" t="s">
        <v>367</v>
      </c>
      <c r="K28">
        <v>700</v>
      </c>
      <c r="L28" t="s">
        <v>97</v>
      </c>
      <c r="M28" s="4">
        <f t="shared" si="0"/>
        <v>8</v>
      </c>
      <c r="N28" s="4" t="b">
        <f t="shared" si="1"/>
        <v>0</v>
      </c>
    </row>
    <row r="29" spans="1:14" x14ac:dyDescent="0.2">
      <c r="A29" t="s">
        <v>416</v>
      </c>
      <c r="B29" t="s">
        <v>360</v>
      </c>
      <c r="C29" t="s">
        <v>504</v>
      </c>
      <c r="D29" t="s">
        <v>362</v>
      </c>
      <c r="E29" t="s">
        <v>505</v>
      </c>
      <c r="F29" t="s">
        <v>364</v>
      </c>
      <c r="G29" t="s">
        <v>506</v>
      </c>
      <c r="H29" t="s">
        <v>360</v>
      </c>
      <c r="I29" t="s">
        <v>515</v>
      </c>
      <c r="J29" t="s">
        <v>367</v>
      </c>
      <c r="K29">
        <v>750</v>
      </c>
      <c r="L29" t="s">
        <v>97</v>
      </c>
      <c r="M29" s="4">
        <f t="shared" si="0"/>
        <v>8</v>
      </c>
      <c r="N29" s="4" t="b">
        <f t="shared" si="1"/>
        <v>0</v>
      </c>
    </row>
    <row r="30" spans="1:14" x14ac:dyDescent="0.2">
      <c r="A30" t="s">
        <v>418</v>
      </c>
      <c r="B30" t="s">
        <v>360</v>
      </c>
      <c r="C30" t="s">
        <v>504</v>
      </c>
      <c r="D30" t="s">
        <v>362</v>
      </c>
      <c r="E30" t="s">
        <v>505</v>
      </c>
      <c r="F30" t="s">
        <v>364</v>
      </c>
      <c r="G30" t="s">
        <v>506</v>
      </c>
      <c r="H30" t="s">
        <v>360</v>
      </c>
      <c r="I30" t="s">
        <v>515</v>
      </c>
      <c r="J30" t="s">
        <v>367</v>
      </c>
      <c r="K30">
        <v>800</v>
      </c>
      <c r="L30" t="s">
        <v>97</v>
      </c>
      <c r="M30" s="4">
        <f t="shared" si="0"/>
        <v>8</v>
      </c>
      <c r="N30" s="4" t="b">
        <f t="shared" si="1"/>
        <v>0</v>
      </c>
    </row>
    <row r="31" spans="1:14" x14ac:dyDescent="0.2">
      <c r="A31" t="s">
        <v>420</v>
      </c>
      <c r="B31" t="s">
        <v>360</v>
      </c>
      <c r="C31" t="s">
        <v>504</v>
      </c>
      <c r="D31" t="s">
        <v>362</v>
      </c>
      <c r="E31" t="s">
        <v>505</v>
      </c>
      <c r="F31" t="s">
        <v>364</v>
      </c>
      <c r="G31" t="s">
        <v>506</v>
      </c>
      <c r="H31" t="s">
        <v>360</v>
      </c>
      <c r="I31" t="s">
        <v>515</v>
      </c>
      <c r="J31" t="s">
        <v>367</v>
      </c>
      <c r="K31">
        <v>850</v>
      </c>
      <c r="L31" t="s">
        <v>97</v>
      </c>
      <c r="M31" s="4">
        <f t="shared" si="0"/>
        <v>8</v>
      </c>
      <c r="N31" s="4" t="b">
        <f t="shared" si="1"/>
        <v>0</v>
      </c>
    </row>
    <row r="32" spans="1:14" x14ac:dyDescent="0.2">
      <c r="A32" t="s">
        <v>422</v>
      </c>
      <c r="B32" t="s">
        <v>360</v>
      </c>
      <c r="C32" t="s">
        <v>504</v>
      </c>
      <c r="D32" t="s">
        <v>362</v>
      </c>
      <c r="E32" t="s">
        <v>505</v>
      </c>
      <c r="F32" t="s">
        <v>364</v>
      </c>
      <c r="G32" t="s">
        <v>506</v>
      </c>
      <c r="H32" t="s">
        <v>360</v>
      </c>
      <c r="I32" t="s">
        <v>516</v>
      </c>
      <c r="J32" t="s">
        <v>367</v>
      </c>
      <c r="K32">
        <v>900</v>
      </c>
      <c r="L32" t="s">
        <v>97</v>
      </c>
      <c r="M32" s="4">
        <f t="shared" si="0"/>
        <v>9</v>
      </c>
      <c r="N32" s="4" t="b">
        <f t="shared" si="1"/>
        <v>0</v>
      </c>
    </row>
    <row r="33" spans="1:14" x14ac:dyDescent="0.2">
      <c r="A33" t="s">
        <v>424</v>
      </c>
      <c r="B33" t="s">
        <v>360</v>
      </c>
      <c r="C33" t="s">
        <v>504</v>
      </c>
      <c r="D33" t="s">
        <v>362</v>
      </c>
      <c r="E33" t="s">
        <v>505</v>
      </c>
      <c r="F33" t="s">
        <v>364</v>
      </c>
      <c r="G33" t="s">
        <v>506</v>
      </c>
      <c r="H33" t="s">
        <v>360</v>
      </c>
      <c r="I33" t="s">
        <v>516</v>
      </c>
      <c r="J33" t="s">
        <v>367</v>
      </c>
      <c r="K33">
        <v>950</v>
      </c>
      <c r="L33" t="s">
        <v>97</v>
      </c>
      <c r="M33" s="4">
        <f t="shared" si="0"/>
        <v>9</v>
      </c>
      <c r="N33" s="4" t="b">
        <f t="shared" si="1"/>
        <v>0</v>
      </c>
    </row>
    <row r="34" spans="1:14" x14ac:dyDescent="0.2">
      <c r="A34" t="s">
        <v>426</v>
      </c>
      <c r="B34" t="s">
        <v>360</v>
      </c>
      <c r="C34" t="s">
        <v>504</v>
      </c>
      <c r="D34" t="s">
        <v>362</v>
      </c>
      <c r="E34" t="s">
        <v>505</v>
      </c>
      <c r="F34" t="s">
        <v>364</v>
      </c>
      <c r="G34" t="s">
        <v>506</v>
      </c>
      <c r="H34" t="s">
        <v>360</v>
      </c>
      <c r="I34" t="s">
        <v>517</v>
      </c>
      <c r="J34" t="s">
        <v>367</v>
      </c>
      <c r="K34">
        <v>1000</v>
      </c>
      <c r="L34" t="s">
        <v>97</v>
      </c>
      <c r="M34" s="4">
        <f t="shared" si="0"/>
        <v>10</v>
      </c>
      <c r="N34" s="4" t="b">
        <f t="shared" si="1"/>
        <v>0</v>
      </c>
    </row>
    <row r="35" spans="1:14" x14ac:dyDescent="0.2">
      <c r="A35" t="s">
        <v>428</v>
      </c>
      <c r="B35" t="s">
        <v>360</v>
      </c>
      <c r="C35" t="s">
        <v>504</v>
      </c>
      <c r="D35" t="s">
        <v>362</v>
      </c>
      <c r="E35" t="s">
        <v>505</v>
      </c>
      <c r="F35" t="s">
        <v>364</v>
      </c>
      <c r="G35" t="s">
        <v>506</v>
      </c>
      <c r="H35" t="s">
        <v>360</v>
      </c>
      <c r="I35" t="s">
        <v>517</v>
      </c>
      <c r="J35" t="s">
        <v>367</v>
      </c>
      <c r="K35">
        <v>1050</v>
      </c>
      <c r="L35" t="s">
        <v>97</v>
      </c>
      <c r="M35" s="4">
        <f t="shared" si="0"/>
        <v>10</v>
      </c>
      <c r="N35" s="4" t="b">
        <f t="shared" si="1"/>
        <v>0</v>
      </c>
    </row>
    <row r="36" spans="1:14" x14ac:dyDescent="0.2">
      <c r="A36" t="s">
        <v>430</v>
      </c>
      <c r="B36" t="s">
        <v>360</v>
      </c>
      <c r="C36" t="s">
        <v>504</v>
      </c>
      <c r="D36" t="s">
        <v>362</v>
      </c>
      <c r="E36" t="s">
        <v>505</v>
      </c>
      <c r="F36" t="s">
        <v>364</v>
      </c>
      <c r="G36" t="s">
        <v>506</v>
      </c>
      <c r="H36" t="s">
        <v>360</v>
      </c>
      <c r="I36" t="s">
        <v>518</v>
      </c>
      <c r="J36" t="s">
        <v>367</v>
      </c>
      <c r="K36">
        <v>1100</v>
      </c>
      <c r="L36" t="s">
        <v>97</v>
      </c>
      <c r="M36" s="4">
        <f t="shared" si="0"/>
        <v>11</v>
      </c>
      <c r="N36" s="4" t="b">
        <f t="shared" si="1"/>
        <v>0</v>
      </c>
    </row>
    <row r="37" spans="1:14" x14ac:dyDescent="0.2">
      <c r="A37" t="s">
        <v>432</v>
      </c>
      <c r="B37" t="s">
        <v>360</v>
      </c>
      <c r="C37" t="s">
        <v>504</v>
      </c>
      <c r="D37" t="s">
        <v>362</v>
      </c>
      <c r="E37" t="s">
        <v>505</v>
      </c>
      <c r="F37" t="s">
        <v>364</v>
      </c>
      <c r="G37" t="s">
        <v>506</v>
      </c>
      <c r="H37" t="s">
        <v>360</v>
      </c>
      <c r="I37" t="s">
        <v>518</v>
      </c>
      <c r="J37" t="s">
        <v>367</v>
      </c>
      <c r="K37">
        <v>1150</v>
      </c>
      <c r="L37" t="s">
        <v>97</v>
      </c>
      <c r="M37" s="4">
        <f t="shared" si="0"/>
        <v>11</v>
      </c>
      <c r="N37" s="4" t="b">
        <f t="shared" si="1"/>
        <v>0</v>
      </c>
    </row>
    <row r="38" spans="1:14" x14ac:dyDescent="0.2">
      <c r="A38" t="s">
        <v>434</v>
      </c>
      <c r="B38" t="s">
        <v>360</v>
      </c>
      <c r="C38" t="s">
        <v>504</v>
      </c>
      <c r="D38" t="s">
        <v>362</v>
      </c>
      <c r="E38" t="s">
        <v>505</v>
      </c>
      <c r="F38" t="s">
        <v>364</v>
      </c>
      <c r="G38" t="s">
        <v>506</v>
      </c>
      <c r="H38" t="s">
        <v>360</v>
      </c>
      <c r="I38" t="s">
        <v>519</v>
      </c>
      <c r="J38" t="s">
        <v>367</v>
      </c>
      <c r="K38">
        <v>1200</v>
      </c>
      <c r="L38" t="s">
        <v>97</v>
      </c>
      <c r="M38" s="4">
        <f t="shared" si="0"/>
        <v>12</v>
      </c>
      <c r="N38" s="4" t="b">
        <f t="shared" si="1"/>
        <v>0</v>
      </c>
    </row>
    <row r="39" spans="1:14" x14ac:dyDescent="0.2">
      <c r="A39" t="s">
        <v>436</v>
      </c>
      <c r="B39" t="s">
        <v>360</v>
      </c>
      <c r="C39" t="s">
        <v>504</v>
      </c>
      <c r="D39" t="s">
        <v>362</v>
      </c>
      <c r="E39" t="s">
        <v>505</v>
      </c>
      <c r="F39" t="s">
        <v>364</v>
      </c>
      <c r="G39" t="s">
        <v>506</v>
      </c>
      <c r="H39" t="s">
        <v>360</v>
      </c>
      <c r="I39" t="s">
        <v>519</v>
      </c>
      <c r="J39" t="s">
        <v>367</v>
      </c>
      <c r="K39">
        <v>1250</v>
      </c>
      <c r="L39" t="s">
        <v>97</v>
      </c>
      <c r="M39" s="4">
        <f t="shared" si="0"/>
        <v>12</v>
      </c>
      <c r="N39" s="4" t="b">
        <f t="shared" si="1"/>
        <v>0</v>
      </c>
    </row>
    <row r="40" spans="1:14" x14ac:dyDescent="0.2">
      <c r="A40" t="s">
        <v>438</v>
      </c>
      <c r="B40" t="s">
        <v>360</v>
      </c>
      <c r="C40" t="s">
        <v>504</v>
      </c>
      <c r="D40" t="s">
        <v>362</v>
      </c>
      <c r="E40" t="s">
        <v>505</v>
      </c>
      <c r="F40" t="s">
        <v>364</v>
      </c>
      <c r="G40" t="s">
        <v>506</v>
      </c>
      <c r="H40" t="s">
        <v>360</v>
      </c>
      <c r="I40" t="s">
        <v>520</v>
      </c>
      <c r="J40" t="s">
        <v>367</v>
      </c>
      <c r="K40">
        <v>1300</v>
      </c>
      <c r="L40" t="s">
        <v>97</v>
      </c>
      <c r="M40" s="4">
        <f t="shared" si="0"/>
        <v>13</v>
      </c>
      <c r="N40" s="4" t="b">
        <f t="shared" si="1"/>
        <v>0</v>
      </c>
    </row>
    <row r="41" spans="1:14" x14ac:dyDescent="0.2">
      <c r="A41" t="s">
        <v>440</v>
      </c>
      <c r="B41" t="s">
        <v>360</v>
      </c>
      <c r="C41" t="s">
        <v>504</v>
      </c>
      <c r="D41" t="s">
        <v>362</v>
      </c>
      <c r="E41" t="s">
        <v>505</v>
      </c>
      <c r="F41" t="s">
        <v>364</v>
      </c>
      <c r="G41" t="s">
        <v>506</v>
      </c>
      <c r="H41" t="s">
        <v>360</v>
      </c>
      <c r="I41" t="s">
        <v>520</v>
      </c>
      <c r="J41" t="s">
        <v>367</v>
      </c>
      <c r="K41">
        <v>1350</v>
      </c>
      <c r="L41" t="s">
        <v>97</v>
      </c>
      <c r="M41" s="4">
        <f t="shared" si="0"/>
        <v>13</v>
      </c>
      <c r="N41" s="4" t="b">
        <f t="shared" si="1"/>
        <v>0</v>
      </c>
    </row>
    <row r="42" spans="1:14" x14ac:dyDescent="0.2">
      <c r="A42" t="s">
        <v>442</v>
      </c>
      <c r="B42" t="s">
        <v>360</v>
      </c>
      <c r="C42" t="s">
        <v>504</v>
      </c>
      <c r="D42" t="s">
        <v>362</v>
      </c>
      <c r="E42" t="s">
        <v>505</v>
      </c>
      <c r="F42" t="s">
        <v>364</v>
      </c>
      <c r="G42" t="s">
        <v>506</v>
      </c>
      <c r="H42" t="s">
        <v>360</v>
      </c>
      <c r="I42" t="s">
        <v>521</v>
      </c>
      <c r="J42" t="s">
        <v>367</v>
      </c>
      <c r="K42">
        <v>1400</v>
      </c>
      <c r="L42" t="s">
        <v>97</v>
      </c>
      <c r="M42" s="4">
        <f t="shared" si="0"/>
        <v>14</v>
      </c>
      <c r="N42" s="4" t="b">
        <f t="shared" si="1"/>
        <v>0</v>
      </c>
    </row>
    <row r="43" spans="1:14" x14ac:dyDescent="0.2">
      <c r="A43" t="s">
        <v>444</v>
      </c>
      <c r="B43" t="s">
        <v>360</v>
      </c>
      <c r="C43" t="s">
        <v>504</v>
      </c>
      <c r="D43" t="s">
        <v>362</v>
      </c>
      <c r="E43" t="s">
        <v>505</v>
      </c>
      <c r="F43" t="s">
        <v>364</v>
      </c>
      <c r="G43" t="s">
        <v>506</v>
      </c>
      <c r="H43" t="s">
        <v>360</v>
      </c>
      <c r="I43" t="s">
        <v>522</v>
      </c>
      <c r="J43" t="s">
        <v>367</v>
      </c>
      <c r="K43">
        <v>1450</v>
      </c>
      <c r="L43" t="s">
        <v>97</v>
      </c>
      <c r="M43" s="4">
        <f t="shared" si="0"/>
        <v>15</v>
      </c>
      <c r="N43" s="4" t="b">
        <f t="shared" si="1"/>
        <v>0</v>
      </c>
    </row>
    <row r="44" spans="1:14" x14ac:dyDescent="0.2">
      <c r="A44" t="s">
        <v>446</v>
      </c>
      <c r="B44" t="s">
        <v>360</v>
      </c>
      <c r="C44" t="s">
        <v>504</v>
      </c>
      <c r="D44" t="s">
        <v>362</v>
      </c>
      <c r="E44" t="s">
        <v>505</v>
      </c>
      <c r="F44" t="s">
        <v>364</v>
      </c>
      <c r="G44" t="s">
        <v>506</v>
      </c>
      <c r="H44" t="s">
        <v>360</v>
      </c>
      <c r="I44" t="s">
        <v>522</v>
      </c>
      <c r="J44" t="s">
        <v>367</v>
      </c>
      <c r="K44">
        <v>1500</v>
      </c>
      <c r="L44" t="s">
        <v>97</v>
      </c>
      <c r="M44" s="4">
        <f t="shared" si="0"/>
        <v>15</v>
      </c>
      <c r="N44" s="4" t="b">
        <f t="shared" si="1"/>
        <v>0</v>
      </c>
    </row>
    <row r="45" spans="1:14" x14ac:dyDescent="0.2">
      <c r="A45" t="s">
        <v>448</v>
      </c>
      <c r="B45" t="s">
        <v>360</v>
      </c>
      <c r="C45" t="s">
        <v>504</v>
      </c>
      <c r="D45" t="s">
        <v>362</v>
      </c>
      <c r="E45" t="s">
        <v>505</v>
      </c>
      <c r="F45" t="s">
        <v>364</v>
      </c>
      <c r="G45" t="s">
        <v>506</v>
      </c>
      <c r="H45" t="s">
        <v>360</v>
      </c>
      <c r="I45" t="s">
        <v>523</v>
      </c>
      <c r="J45" t="s">
        <v>367</v>
      </c>
      <c r="K45">
        <v>1550</v>
      </c>
      <c r="L45" t="s">
        <v>97</v>
      </c>
      <c r="M45" s="4">
        <f t="shared" si="0"/>
        <v>16</v>
      </c>
      <c r="N45" s="4" t="b">
        <f t="shared" si="1"/>
        <v>0</v>
      </c>
    </row>
    <row r="46" spans="1:14" x14ac:dyDescent="0.2">
      <c r="A46" t="s">
        <v>450</v>
      </c>
      <c r="B46" t="s">
        <v>360</v>
      </c>
      <c r="C46" t="s">
        <v>504</v>
      </c>
      <c r="D46" t="s">
        <v>362</v>
      </c>
      <c r="E46" t="s">
        <v>505</v>
      </c>
      <c r="F46" t="s">
        <v>364</v>
      </c>
      <c r="G46" t="s">
        <v>506</v>
      </c>
      <c r="H46" t="s">
        <v>360</v>
      </c>
      <c r="I46" t="s">
        <v>523</v>
      </c>
      <c r="J46" t="s">
        <v>367</v>
      </c>
      <c r="K46">
        <v>1600</v>
      </c>
      <c r="L46" t="s">
        <v>97</v>
      </c>
      <c r="M46" s="4">
        <f t="shared" si="0"/>
        <v>16</v>
      </c>
      <c r="N46" s="4" t="b">
        <f t="shared" si="1"/>
        <v>0</v>
      </c>
    </row>
    <row r="47" spans="1:14" x14ac:dyDescent="0.2">
      <c r="A47" t="s">
        <v>452</v>
      </c>
      <c r="B47" t="s">
        <v>360</v>
      </c>
      <c r="C47" t="s">
        <v>504</v>
      </c>
      <c r="D47" t="s">
        <v>362</v>
      </c>
      <c r="E47" t="s">
        <v>505</v>
      </c>
      <c r="F47" t="s">
        <v>364</v>
      </c>
      <c r="G47" t="s">
        <v>506</v>
      </c>
      <c r="H47" t="s">
        <v>360</v>
      </c>
      <c r="I47" t="s">
        <v>524</v>
      </c>
      <c r="J47" t="s">
        <v>367</v>
      </c>
      <c r="K47">
        <v>1650</v>
      </c>
      <c r="L47" t="s">
        <v>97</v>
      </c>
      <c r="M47" s="4">
        <f t="shared" si="0"/>
        <v>17</v>
      </c>
      <c r="N47" s="4" t="b">
        <f t="shared" si="1"/>
        <v>0</v>
      </c>
    </row>
    <row r="48" spans="1:14" x14ac:dyDescent="0.2">
      <c r="A48" t="s">
        <v>454</v>
      </c>
      <c r="B48" t="s">
        <v>360</v>
      </c>
      <c r="C48" t="s">
        <v>504</v>
      </c>
      <c r="D48" t="s">
        <v>362</v>
      </c>
      <c r="E48" t="s">
        <v>505</v>
      </c>
      <c r="F48" t="s">
        <v>364</v>
      </c>
      <c r="G48" t="s">
        <v>506</v>
      </c>
      <c r="H48" t="s">
        <v>360</v>
      </c>
      <c r="I48" t="s">
        <v>524</v>
      </c>
      <c r="J48" t="s">
        <v>367</v>
      </c>
      <c r="K48">
        <v>1700</v>
      </c>
      <c r="L48" t="s">
        <v>97</v>
      </c>
      <c r="M48" s="4">
        <f t="shared" si="0"/>
        <v>17</v>
      </c>
      <c r="N48" s="4" t="b">
        <f t="shared" si="1"/>
        <v>0</v>
      </c>
    </row>
    <row r="49" spans="1:14" x14ac:dyDescent="0.2">
      <c r="A49" t="s">
        <v>456</v>
      </c>
      <c r="B49" t="s">
        <v>360</v>
      </c>
      <c r="C49" t="s">
        <v>504</v>
      </c>
      <c r="D49" t="s">
        <v>362</v>
      </c>
      <c r="E49" t="s">
        <v>505</v>
      </c>
      <c r="F49" t="s">
        <v>364</v>
      </c>
      <c r="G49" t="s">
        <v>506</v>
      </c>
      <c r="H49" t="s">
        <v>360</v>
      </c>
      <c r="I49" t="s">
        <v>525</v>
      </c>
      <c r="J49" t="s">
        <v>367</v>
      </c>
      <c r="K49">
        <v>1750</v>
      </c>
      <c r="L49" t="s">
        <v>97</v>
      </c>
      <c r="M49" s="4">
        <f t="shared" si="0"/>
        <v>18</v>
      </c>
      <c r="N49" s="4" t="b">
        <f t="shared" si="1"/>
        <v>0</v>
      </c>
    </row>
    <row r="50" spans="1:14" x14ac:dyDescent="0.2">
      <c r="A50" t="s">
        <v>458</v>
      </c>
      <c r="B50" t="s">
        <v>360</v>
      </c>
      <c r="C50" t="s">
        <v>504</v>
      </c>
      <c r="D50" t="s">
        <v>362</v>
      </c>
      <c r="E50" t="s">
        <v>505</v>
      </c>
      <c r="F50" t="s">
        <v>364</v>
      </c>
      <c r="G50" t="s">
        <v>506</v>
      </c>
      <c r="H50" t="s">
        <v>360</v>
      </c>
      <c r="I50" t="s">
        <v>526</v>
      </c>
      <c r="J50" t="s">
        <v>367</v>
      </c>
      <c r="K50">
        <v>1800</v>
      </c>
      <c r="L50" t="s">
        <v>97</v>
      </c>
      <c r="M50" s="4">
        <f t="shared" si="0"/>
        <v>19</v>
      </c>
      <c r="N50" s="4" t="b">
        <f t="shared" si="1"/>
        <v>0</v>
      </c>
    </row>
    <row r="51" spans="1:14" x14ac:dyDescent="0.2">
      <c r="A51" t="s">
        <v>460</v>
      </c>
      <c r="B51" t="s">
        <v>360</v>
      </c>
      <c r="C51" t="s">
        <v>504</v>
      </c>
      <c r="D51" t="s">
        <v>362</v>
      </c>
      <c r="E51" t="s">
        <v>505</v>
      </c>
      <c r="F51" t="s">
        <v>364</v>
      </c>
      <c r="G51" t="s">
        <v>506</v>
      </c>
      <c r="H51" t="s">
        <v>360</v>
      </c>
      <c r="I51" t="s">
        <v>526</v>
      </c>
      <c r="J51" t="s">
        <v>367</v>
      </c>
      <c r="K51">
        <v>1850</v>
      </c>
      <c r="L51" t="s">
        <v>97</v>
      </c>
      <c r="M51" s="4">
        <f t="shared" si="0"/>
        <v>19</v>
      </c>
      <c r="N51" s="4" t="b">
        <f t="shared" si="1"/>
        <v>0</v>
      </c>
    </row>
    <row r="52" spans="1:14" x14ac:dyDescent="0.2">
      <c r="A52" t="s">
        <v>462</v>
      </c>
      <c r="B52" t="s">
        <v>360</v>
      </c>
      <c r="C52" t="s">
        <v>504</v>
      </c>
      <c r="D52" t="s">
        <v>362</v>
      </c>
      <c r="E52" t="s">
        <v>505</v>
      </c>
      <c r="F52" t="s">
        <v>364</v>
      </c>
      <c r="G52" t="s">
        <v>506</v>
      </c>
      <c r="H52" t="s">
        <v>360</v>
      </c>
      <c r="I52" t="s">
        <v>527</v>
      </c>
      <c r="J52" t="s">
        <v>367</v>
      </c>
      <c r="K52">
        <v>1900</v>
      </c>
      <c r="L52" t="s">
        <v>97</v>
      </c>
      <c r="M52" s="4">
        <f t="shared" si="0"/>
        <v>20</v>
      </c>
      <c r="N52" s="4" t="b">
        <f t="shared" si="1"/>
        <v>0</v>
      </c>
    </row>
    <row r="53" spans="1:14" x14ac:dyDescent="0.2">
      <c r="A53" t="s">
        <v>464</v>
      </c>
      <c r="B53" t="s">
        <v>360</v>
      </c>
      <c r="C53" t="s">
        <v>504</v>
      </c>
      <c r="D53" t="s">
        <v>362</v>
      </c>
      <c r="E53" t="s">
        <v>505</v>
      </c>
      <c r="F53" t="s">
        <v>364</v>
      </c>
      <c r="G53" t="s">
        <v>506</v>
      </c>
      <c r="H53" t="s">
        <v>360</v>
      </c>
      <c r="I53" t="s">
        <v>527</v>
      </c>
      <c r="J53" t="s">
        <v>367</v>
      </c>
      <c r="K53">
        <v>1950</v>
      </c>
      <c r="L53" t="s">
        <v>97</v>
      </c>
      <c r="M53" s="4">
        <f t="shared" si="0"/>
        <v>20</v>
      </c>
      <c r="N53" s="4" t="b">
        <f t="shared" si="1"/>
        <v>0</v>
      </c>
    </row>
    <row r="54" spans="1:14" x14ac:dyDescent="0.2">
      <c r="A54" t="s">
        <v>466</v>
      </c>
      <c r="B54" t="s">
        <v>360</v>
      </c>
      <c r="C54" t="s">
        <v>504</v>
      </c>
      <c r="D54" t="s">
        <v>362</v>
      </c>
      <c r="E54" t="s">
        <v>505</v>
      </c>
      <c r="F54" t="s">
        <v>364</v>
      </c>
      <c r="G54" t="s">
        <v>506</v>
      </c>
      <c r="H54" t="s">
        <v>360</v>
      </c>
      <c r="I54" t="s">
        <v>528</v>
      </c>
      <c r="J54" t="s">
        <v>367</v>
      </c>
      <c r="K54">
        <v>2000</v>
      </c>
      <c r="L54" t="s">
        <v>97</v>
      </c>
      <c r="M54" s="4">
        <f t="shared" si="0"/>
        <v>21</v>
      </c>
      <c r="N54" s="4" t="str">
        <f t="shared" si="1"/>
        <v>SELECT</v>
      </c>
    </row>
    <row r="55" spans="1:14" x14ac:dyDescent="0.2">
      <c r="A55" t="s">
        <v>468</v>
      </c>
      <c r="B55" t="s">
        <v>360</v>
      </c>
      <c r="C55" t="s">
        <v>504</v>
      </c>
      <c r="D55" t="s">
        <v>362</v>
      </c>
      <c r="E55" t="s">
        <v>505</v>
      </c>
      <c r="F55" t="s">
        <v>364</v>
      </c>
      <c r="G55" t="s">
        <v>506</v>
      </c>
      <c r="H55" t="s">
        <v>360</v>
      </c>
      <c r="I55" t="s">
        <v>528</v>
      </c>
      <c r="J55" t="s">
        <v>367</v>
      </c>
      <c r="K55">
        <v>2050</v>
      </c>
      <c r="L55" t="s">
        <v>97</v>
      </c>
      <c r="M55" s="4">
        <f t="shared" si="0"/>
        <v>21</v>
      </c>
      <c r="N55" s="4" t="b">
        <f t="shared" si="1"/>
        <v>0</v>
      </c>
    </row>
    <row r="56" spans="1:14" x14ac:dyDescent="0.2">
      <c r="A56" t="s">
        <v>470</v>
      </c>
      <c r="B56" t="s">
        <v>360</v>
      </c>
      <c r="C56" t="s">
        <v>504</v>
      </c>
      <c r="D56" t="s">
        <v>362</v>
      </c>
      <c r="E56" t="s">
        <v>505</v>
      </c>
      <c r="F56" t="s">
        <v>364</v>
      </c>
      <c r="G56" t="s">
        <v>506</v>
      </c>
      <c r="H56" t="s">
        <v>360</v>
      </c>
      <c r="I56" t="s">
        <v>529</v>
      </c>
      <c r="J56" t="s">
        <v>367</v>
      </c>
      <c r="K56">
        <v>2100</v>
      </c>
      <c r="L56" t="s">
        <v>97</v>
      </c>
      <c r="M56" s="4">
        <f t="shared" si="0"/>
        <v>22</v>
      </c>
      <c r="N56" s="4" t="b">
        <f t="shared" si="1"/>
        <v>0</v>
      </c>
    </row>
    <row r="57" spans="1:14" x14ac:dyDescent="0.2">
      <c r="A57" t="s">
        <v>472</v>
      </c>
      <c r="B57" t="s">
        <v>360</v>
      </c>
      <c r="C57" t="s">
        <v>504</v>
      </c>
      <c r="D57" t="s">
        <v>362</v>
      </c>
      <c r="E57" t="s">
        <v>505</v>
      </c>
      <c r="F57" t="s">
        <v>364</v>
      </c>
      <c r="G57" t="s">
        <v>506</v>
      </c>
      <c r="H57" t="s">
        <v>360</v>
      </c>
      <c r="I57" t="s">
        <v>529</v>
      </c>
      <c r="J57" t="s">
        <v>367</v>
      </c>
      <c r="K57">
        <v>2150</v>
      </c>
      <c r="L57" t="s">
        <v>97</v>
      </c>
      <c r="M57" s="4">
        <f t="shared" si="0"/>
        <v>22</v>
      </c>
      <c r="N57" s="4" t="b">
        <f t="shared" si="1"/>
        <v>0</v>
      </c>
    </row>
    <row r="58" spans="1:14" x14ac:dyDescent="0.2">
      <c r="A58" t="s">
        <v>474</v>
      </c>
      <c r="B58" t="s">
        <v>360</v>
      </c>
      <c r="C58" t="s">
        <v>504</v>
      </c>
      <c r="D58" t="s">
        <v>362</v>
      </c>
      <c r="E58" t="s">
        <v>505</v>
      </c>
      <c r="F58" t="s">
        <v>364</v>
      </c>
      <c r="G58" t="s">
        <v>506</v>
      </c>
      <c r="H58" t="s">
        <v>360</v>
      </c>
      <c r="I58" t="s">
        <v>530</v>
      </c>
      <c r="J58" t="s">
        <v>367</v>
      </c>
      <c r="K58">
        <v>2200</v>
      </c>
      <c r="L58" t="s">
        <v>97</v>
      </c>
      <c r="M58" s="4">
        <f t="shared" si="0"/>
        <v>23</v>
      </c>
      <c r="N58" s="4" t="b">
        <f t="shared" si="1"/>
        <v>0</v>
      </c>
    </row>
    <row r="59" spans="1:14" x14ac:dyDescent="0.2">
      <c r="A59" t="s">
        <v>476</v>
      </c>
      <c r="B59" t="s">
        <v>360</v>
      </c>
      <c r="C59" t="s">
        <v>504</v>
      </c>
      <c r="D59" t="s">
        <v>362</v>
      </c>
      <c r="E59" t="s">
        <v>505</v>
      </c>
      <c r="F59" t="s">
        <v>364</v>
      </c>
      <c r="G59" t="s">
        <v>506</v>
      </c>
      <c r="H59" t="s">
        <v>360</v>
      </c>
      <c r="I59" t="s">
        <v>530</v>
      </c>
      <c r="J59" t="s">
        <v>367</v>
      </c>
      <c r="K59">
        <v>2250</v>
      </c>
      <c r="L59" t="s">
        <v>97</v>
      </c>
      <c r="M59" s="4">
        <f t="shared" si="0"/>
        <v>23</v>
      </c>
      <c r="N59" s="4" t="b">
        <f t="shared" si="1"/>
        <v>0</v>
      </c>
    </row>
    <row r="60" spans="1:14" x14ac:dyDescent="0.2">
      <c r="A60" t="s">
        <v>478</v>
      </c>
      <c r="B60" t="s">
        <v>360</v>
      </c>
      <c r="C60" t="s">
        <v>504</v>
      </c>
      <c r="D60" t="s">
        <v>362</v>
      </c>
      <c r="E60" t="s">
        <v>505</v>
      </c>
      <c r="F60" t="s">
        <v>364</v>
      </c>
      <c r="G60" t="s">
        <v>506</v>
      </c>
      <c r="H60" t="s">
        <v>360</v>
      </c>
      <c r="I60" t="s">
        <v>530</v>
      </c>
      <c r="J60" t="s">
        <v>367</v>
      </c>
      <c r="K60">
        <v>2300</v>
      </c>
      <c r="L60" t="s">
        <v>97</v>
      </c>
      <c r="M60" s="4">
        <f t="shared" si="0"/>
        <v>23</v>
      </c>
      <c r="N60" s="4" t="b">
        <f t="shared" si="1"/>
        <v>0</v>
      </c>
    </row>
    <row r="61" spans="1:14" x14ac:dyDescent="0.2">
      <c r="A61" t="s">
        <v>480</v>
      </c>
      <c r="B61" t="s">
        <v>360</v>
      </c>
      <c r="C61" t="s">
        <v>504</v>
      </c>
      <c r="D61" t="s">
        <v>362</v>
      </c>
      <c r="E61" t="s">
        <v>505</v>
      </c>
      <c r="F61" t="s">
        <v>364</v>
      </c>
      <c r="G61" t="s">
        <v>506</v>
      </c>
      <c r="H61" t="s">
        <v>360</v>
      </c>
      <c r="I61" t="s">
        <v>531</v>
      </c>
      <c r="J61" t="s">
        <v>367</v>
      </c>
      <c r="K61">
        <v>2350</v>
      </c>
      <c r="L61" t="s">
        <v>97</v>
      </c>
      <c r="M61" s="4">
        <f t="shared" si="0"/>
        <v>24</v>
      </c>
      <c r="N61" s="4" t="b">
        <f t="shared" si="1"/>
        <v>0</v>
      </c>
    </row>
    <row r="62" spans="1:14" x14ac:dyDescent="0.2">
      <c r="A62" t="s">
        <v>482</v>
      </c>
      <c r="B62" t="s">
        <v>360</v>
      </c>
      <c r="C62" t="s">
        <v>504</v>
      </c>
      <c r="D62" t="s">
        <v>362</v>
      </c>
      <c r="E62" t="s">
        <v>505</v>
      </c>
      <c r="F62" t="s">
        <v>364</v>
      </c>
      <c r="G62" t="s">
        <v>506</v>
      </c>
      <c r="H62" t="s">
        <v>360</v>
      </c>
      <c r="I62" t="s">
        <v>532</v>
      </c>
      <c r="J62" t="s">
        <v>367</v>
      </c>
      <c r="K62">
        <v>2400</v>
      </c>
      <c r="L62" t="s">
        <v>97</v>
      </c>
      <c r="M62" s="4">
        <f t="shared" si="0"/>
        <v>25</v>
      </c>
      <c r="N62" s="4" t="b">
        <f t="shared" si="1"/>
        <v>0</v>
      </c>
    </row>
    <row r="63" spans="1:14" x14ac:dyDescent="0.2">
      <c r="A63" t="s">
        <v>483</v>
      </c>
      <c r="B63" t="s">
        <v>360</v>
      </c>
      <c r="C63" t="s">
        <v>504</v>
      </c>
      <c r="D63" t="s">
        <v>362</v>
      </c>
      <c r="E63" t="s">
        <v>505</v>
      </c>
      <c r="F63" t="s">
        <v>364</v>
      </c>
      <c r="G63" t="s">
        <v>506</v>
      </c>
      <c r="H63" t="s">
        <v>360</v>
      </c>
      <c r="I63" t="s">
        <v>532</v>
      </c>
      <c r="J63" t="s">
        <v>367</v>
      </c>
      <c r="K63">
        <v>2450</v>
      </c>
      <c r="L63" t="s">
        <v>97</v>
      </c>
      <c r="M63" s="4">
        <f t="shared" si="0"/>
        <v>25</v>
      </c>
      <c r="N63" s="4" t="b">
        <f t="shared" si="1"/>
        <v>0</v>
      </c>
    </row>
    <row r="64" spans="1:14" x14ac:dyDescent="0.2">
      <c r="A64" t="s">
        <v>484</v>
      </c>
      <c r="B64" t="s">
        <v>360</v>
      </c>
      <c r="C64" t="s">
        <v>504</v>
      </c>
      <c r="D64" t="s">
        <v>362</v>
      </c>
      <c r="E64" t="s">
        <v>505</v>
      </c>
      <c r="F64" t="s">
        <v>364</v>
      </c>
      <c r="G64" t="s">
        <v>506</v>
      </c>
      <c r="H64" t="s">
        <v>360</v>
      </c>
      <c r="I64" t="s">
        <v>532</v>
      </c>
      <c r="J64" t="s">
        <v>367</v>
      </c>
      <c r="K64">
        <v>2500</v>
      </c>
      <c r="L64" t="s">
        <v>97</v>
      </c>
      <c r="M64" s="4">
        <f t="shared" si="0"/>
        <v>25</v>
      </c>
      <c r="N64" s="4" t="b">
        <f t="shared" si="1"/>
        <v>0</v>
      </c>
    </row>
  </sheetData>
  <phoneticPr fontId="51" type="noConversion"/>
  <pageMargins left="0.25" right="0.25" top="0.75" bottom="0.65" header="0.3" footer="0.3"/>
  <headerFooter scaleWithDoc="0">
    <oddFooter xml:space="preserve">&amp;L&amp;"Arial"&amp;8 80-NH713-1 YG
&amp;C&amp;"Arial"&amp;8Confidential – Qualcomm Technologies, Inc. and/or its affiliated companies – May Contain Trade Secrets
&amp;"Arial,Bold"&amp;8MAY CONTAIN U.S. AND INTERNATIONAL EXPORT CONTROLLED INFORMATION&amp;R&amp;"Arial"&amp;8 &amp;P
</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pageSetUpPr fitToPage="1"/>
  </sheetPr>
  <dimension ref="A1:S64"/>
  <sheetViews>
    <sheetView workbookViewId="0"/>
  </sheetViews>
  <sheetFormatPr defaultColWidth="9.140625" defaultRowHeight="12.75" x14ac:dyDescent="0.2"/>
  <cols>
    <col min="1" max="1" width="14.28515625" bestFit="1" customWidth="1"/>
    <col min="2" max="2" width="3.140625" bestFit="1" customWidth="1"/>
    <col min="3" max="3" width="21" bestFit="1" customWidth="1"/>
    <col min="4" max="4" width="2" bestFit="1" customWidth="1"/>
    <col min="5" max="5" width="28.42578125" bestFit="1" customWidth="1"/>
    <col min="6" max="6" width="2" bestFit="1" customWidth="1"/>
    <col min="7" max="7" width="25" bestFit="1" customWidth="1"/>
    <col min="8" max="8" width="1.5703125" bestFit="1" customWidth="1"/>
    <col min="9" max="9" width="7.5703125" bestFit="1" customWidth="1"/>
    <col min="10" max="10" width="2.7109375" bestFit="1" customWidth="1"/>
    <col min="11" max="11" width="5" bestFit="1" customWidth="1"/>
    <col min="12" max="12" width="5.85546875" bestFit="1" customWidth="1"/>
    <col min="13" max="13" width="21" style="4" bestFit="1" customWidth="1"/>
  </cols>
  <sheetData>
    <row r="1" spans="1:19" x14ac:dyDescent="0.2">
      <c r="M1" s="4" t="s">
        <v>533</v>
      </c>
      <c r="O1" s="4" t="s">
        <v>358</v>
      </c>
      <c r="P1" s="112">
        <f>'SDM439 DPHY timing'!B3</f>
        <v>2010</v>
      </c>
      <c r="Q1" s="4"/>
      <c r="R1" s="4" t="s">
        <v>485</v>
      </c>
      <c r="S1" s="4">
        <f>LOOKUP("SELECT",N2:N64,M2:M64)</f>
        <v>20</v>
      </c>
    </row>
    <row r="2" spans="1:19" x14ac:dyDescent="0.2">
      <c r="A2" t="s">
        <v>359</v>
      </c>
      <c r="B2" t="s">
        <v>360</v>
      </c>
      <c r="C2" t="s">
        <v>533</v>
      </c>
      <c r="D2" t="s">
        <v>362</v>
      </c>
      <c r="E2" t="s">
        <v>534</v>
      </c>
      <c r="F2" t="s">
        <v>364</v>
      </c>
      <c r="G2" t="s">
        <v>535</v>
      </c>
      <c r="H2" t="s">
        <v>360</v>
      </c>
      <c r="I2" t="s">
        <v>508</v>
      </c>
      <c r="J2" t="s">
        <v>367</v>
      </c>
      <c r="K2">
        <v>80</v>
      </c>
      <c r="L2" t="s">
        <v>97</v>
      </c>
      <c r="M2" s="4">
        <f>_xlfn.NUMBERVALUE(MID(I2,5,2))</f>
        <v>1</v>
      </c>
      <c r="N2" s="4" t="b">
        <f>IF($P$1&gt;=K2,IF($P$1&lt;K3,"SELECT"))</f>
        <v>0</v>
      </c>
    </row>
    <row r="3" spans="1:19" x14ac:dyDescent="0.2">
      <c r="A3" t="s">
        <v>368</v>
      </c>
      <c r="B3" t="s">
        <v>360</v>
      </c>
      <c r="C3" t="s">
        <v>533</v>
      </c>
      <c r="D3" t="s">
        <v>362</v>
      </c>
      <c r="E3" t="s">
        <v>534</v>
      </c>
      <c r="F3" t="s">
        <v>364</v>
      </c>
      <c r="G3" t="s">
        <v>535</v>
      </c>
      <c r="H3" t="s">
        <v>360</v>
      </c>
      <c r="I3" t="s">
        <v>508</v>
      </c>
      <c r="J3" t="s">
        <v>367</v>
      </c>
      <c r="K3">
        <v>90</v>
      </c>
      <c r="L3" t="s">
        <v>97</v>
      </c>
      <c r="M3" s="4">
        <f t="shared" ref="M3:M64" si="0">_xlfn.NUMBERVALUE(MID(I3,5,2))</f>
        <v>1</v>
      </c>
      <c r="N3" s="4" t="b">
        <f t="shared" ref="N3:N64" si="1">IF($P$1&gt;=K3,IF($P$1&lt;K4,"SELECT"))</f>
        <v>0</v>
      </c>
    </row>
    <row r="4" spans="1:19" x14ac:dyDescent="0.2">
      <c r="A4" t="s">
        <v>370</v>
      </c>
      <c r="B4" t="s">
        <v>360</v>
      </c>
      <c r="C4" t="s">
        <v>533</v>
      </c>
      <c r="D4" t="s">
        <v>362</v>
      </c>
      <c r="E4" t="s">
        <v>534</v>
      </c>
      <c r="F4" t="s">
        <v>364</v>
      </c>
      <c r="G4" t="s">
        <v>535</v>
      </c>
      <c r="H4" t="s">
        <v>360</v>
      </c>
      <c r="I4" t="s">
        <v>508</v>
      </c>
      <c r="J4" t="s">
        <v>367</v>
      </c>
      <c r="K4">
        <v>100</v>
      </c>
      <c r="L4" t="s">
        <v>97</v>
      </c>
      <c r="M4" s="4">
        <f t="shared" si="0"/>
        <v>1</v>
      </c>
      <c r="N4" s="4" t="b">
        <f t="shared" si="1"/>
        <v>0</v>
      </c>
    </row>
    <row r="5" spans="1:19" x14ac:dyDescent="0.2">
      <c r="A5" t="s">
        <v>371</v>
      </c>
      <c r="B5" t="s">
        <v>360</v>
      </c>
      <c r="C5" t="s">
        <v>533</v>
      </c>
      <c r="D5" t="s">
        <v>362</v>
      </c>
      <c r="E5" t="s">
        <v>534</v>
      </c>
      <c r="F5" t="s">
        <v>364</v>
      </c>
      <c r="G5" t="s">
        <v>535</v>
      </c>
      <c r="H5" t="s">
        <v>360</v>
      </c>
      <c r="I5" t="s">
        <v>508</v>
      </c>
      <c r="J5" t="s">
        <v>367</v>
      </c>
      <c r="K5">
        <v>110</v>
      </c>
      <c r="L5" t="s">
        <v>97</v>
      </c>
      <c r="M5" s="4">
        <f t="shared" si="0"/>
        <v>1</v>
      </c>
      <c r="N5" s="4" t="b">
        <f t="shared" si="1"/>
        <v>0</v>
      </c>
    </row>
    <row r="6" spans="1:19" x14ac:dyDescent="0.2">
      <c r="A6" t="s">
        <v>373</v>
      </c>
      <c r="B6" t="s">
        <v>360</v>
      </c>
      <c r="C6" t="s">
        <v>533</v>
      </c>
      <c r="D6" t="s">
        <v>362</v>
      </c>
      <c r="E6" t="s">
        <v>534</v>
      </c>
      <c r="F6" t="s">
        <v>364</v>
      </c>
      <c r="G6" t="s">
        <v>535</v>
      </c>
      <c r="H6" t="s">
        <v>360</v>
      </c>
      <c r="I6" t="s">
        <v>508</v>
      </c>
      <c r="J6" t="s">
        <v>367</v>
      </c>
      <c r="K6">
        <v>120</v>
      </c>
      <c r="L6" t="s">
        <v>97</v>
      </c>
      <c r="M6" s="4">
        <f t="shared" si="0"/>
        <v>1</v>
      </c>
      <c r="N6" s="4" t="b">
        <f t="shared" si="1"/>
        <v>0</v>
      </c>
    </row>
    <row r="7" spans="1:19" x14ac:dyDescent="0.2">
      <c r="A7" t="s">
        <v>375</v>
      </c>
      <c r="B7" t="s">
        <v>360</v>
      </c>
      <c r="C7" t="s">
        <v>533</v>
      </c>
      <c r="D7" t="s">
        <v>362</v>
      </c>
      <c r="E7" t="s">
        <v>534</v>
      </c>
      <c r="F7" t="s">
        <v>364</v>
      </c>
      <c r="G7" t="s">
        <v>535</v>
      </c>
      <c r="H7" t="s">
        <v>360</v>
      </c>
      <c r="I7" t="s">
        <v>508</v>
      </c>
      <c r="J7" t="s">
        <v>367</v>
      </c>
      <c r="K7">
        <v>130</v>
      </c>
      <c r="L7" t="s">
        <v>97</v>
      </c>
      <c r="M7" s="4">
        <f t="shared" si="0"/>
        <v>1</v>
      </c>
      <c r="N7" s="4" t="b">
        <f t="shared" si="1"/>
        <v>0</v>
      </c>
    </row>
    <row r="8" spans="1:19" x14ac:dyDescent="0.2">
      <c r="A8" t="s">
        <v>376</v>
      </c>
      <c r="B8" t="s">
        <v>360</v>
      </c>
      <c r="C8" t="s">
        <v>533</v>
      </c>
      <c r="D8" t="s">
        <v>362</v>
      </c>
      <c r="E8" t="s">
        <v>534</v>
      </c>
      <c r="F8" t="s">
        <v>364</v>
      </c>
      <c r="G8" t="s">
        <v>535</v>
      </c>
      <c r="H8" t="s">
        <v>360</v>
      </c>
      <c r="I8" t="s">
        <v>508</v>
      </c>
      <c r="J8" t="s">
        <v>367</v>
      </c>
      <c r="K8">
        <v>140</v>
      </c>
      <c r="L8" t="s">
        <v>97</v>
      </c>
      <c r="M8" s="4">
        <f t="shared" si="0"/>
        <v>1</v>
      </c>
      <c r="N8" s="4" t="b">
        <f t="shared" si="1"/>
        <v>0</v>
      </c>
    </row>
    <row r="9" spans="1:19" x14ac:dyDescent="0.2">
      <c r="A9" t="s">
        <v>378</v>
      </c>
      <c r="B9" t="s">
        <v>360</v>
      </c>
      <c r="C9" t="s">
        <v>533</v>
      </c>
      <c r="D9" t="s">
        <v>362</v>
      </c>
      <c r="E9" t="s">
        <v>534</v>
      </c>
      <c r="F9" t="s">
        <v>364</v>
      </c>
      <c r="G9" t="s">
        <v>535</v>
      </c>
      <c r="H9" t="s">
        <v>360</v>
      </c>
      <c r="I9" t="s">
        <v>508</v>
      </c>
      <c r="J9" t="s">
        <v>367</v>
      </c>
      <c r="K9">
        <v>150</v>
      </c>
      <c r="L9" t="s">
        <v>97</v>
      </c>
      <c r="M9" s="4">
        <f t="shared" si="0"/>
        <v>1</v>
      </c>
      <c r="N9" s="4" t="b">
        <f t="shared" si="1"/>
        <v>0</v>
      </c>
    </row>
    <row r="10" spans="1:19" x14ac:dyDescent="0.2">
      <c r="A10" t="s">
        <v>380</v>
      </c>
      <c r="B10" t="s">
        <v>360</v>
      </c>
      <c r="C10" t="s">
        <v>533</v>
      </c>
      <c r="D10" t="s">
        <v>362</v>
      </c>
      <c r="E10" t="s">
        <v>534</v>
      </c>
      <c r="F10" t="s">
        <v>364</v>
      </c>
      <c r="G10" t="s">
        <v>535</v>
      </c>
      <c r="H10" t="s">
        <v>360</v>
      </c>
      <c r="I10" t="s">
        <v>509</v>
      </c>
      <c r="J10" t="s">
        <v>367</v>
      </c>
      <c r="K10">
        <v>160</v>
      </c>
      <c r="L10" t="s">
        <v>97</v>
      </c>
      <c r="M10" s="4">
        <f t="shared" si="0"/>
        <v>2</v>
      </c>
      <c r="N10" s="4" t="b">
        <f t="shared" si="1"/>
        <v>0</v>
      </c>
    </row>
    <row r="11" spans="1:19" x14ac:dyDescent="0.2">
      <c r="A11" t="s">
        <v>381</v>
      </c>
      <c r="B11" t="s">
        <v>360</v>
      </c>
      <c r="C11" t="s">
        <v>533</v>
      </c>
      <c r="D11" t="s">
        <v>362</v>
      </c>
      <c r="E11" t="s">
        <v>534</v>
      </c>
      <c r="F11" t="s">
        <v>364</v>
      </c>
      <c r="G11" t="s">
        <v>535</v>
      </c>
      <c r="H11" t="s">
        <v>360</v>
      </c>
      <c r="I11" t="s">
        <v>509</v>
      </c>
      <c r="J11" t="s">
        <v>367</v>
      </c>
      <c r="K11">
        <v>170</v>
      </c>
      <c r="L11" t="s">
        <v>97</v>
      </c>
      <c r="M11" s="4">
        <f t="shared" si="0"/>
        <v>2</v>
      </c>
      <c r="N11" s="4" t="b">
        <f t="shared" si="1"/>
        <v>0</v>
      </c>
    </row>
    <row r="12" spans="1:19" x14ac:dyDescent="0.2">
      <c r="A12" t="s">
        <v>383</v>
      </c>
      <c r="B12" t="s">
        <v>360</v>
      </c>
      <c r="C12" t="s">
        <v>533</v>
      </c>
      <c r="D12" t="s">
        <v>362</v>
      </c>
      <c r="E12" t="s">
        <v>534</v>
      </c>
      <c r="F12" t="s">
        <v>364</v>
      </c>
      <c r="G12" t="s">
        <v>535</v>
      </c>
      <c r="H12" t="s">
        <v>360</v>
      </c>
      <c r="I12" t="s">
        <v>509</v>
      </c>
      <c r="J12" t="s">
        <v>367</v>
      </c>
      <c r="K12">
        <v>180</v>
      </c>
      <c r="L12" t="s">
        <v>97</v>
      </c>
      <c r="M12" s="4">
        <f t="shared" si="0"/>
        <v>2</v>
      </c>
      <c r="N12" s="4" t="b">
        <f t="shared" si="1"/>
        <v>0</v>
      </c>
    </row>
    <row r="13" spans="1:19" x14ac:dyDescent="0.2">
      <c r="A13" t="s">
        <v>384</v>
      </c>
      <c r="B13" t="s">
        <v>360</v>
      </c>
      <c r="C13" t="s">
        <v>533</v>
      </c>
      <c r="D13" t="s">
        <v>362</v>
      </c>
      <c r="E13" t="s">
        <v>534</v>
      </c>
      <c r="F13" t="s">
        <v>364</v>
      </c>
      <c r="G13" t="s">
        <v>535</v>
      </c>
      <c r="H13" t="s">
        <v>360</v>
      </c>
      <c r="I13" t="s">
        <v>509</v>
      </c>
      <c r="J13" t="s">
        <v>367</v>
      </c>
      <c r="K13">
        <v>190</v>
      </c>
      <c r="L13" t="s">
        <v>97</v>
      </c>
      <c r="M13" s="4">
        <f t="shared" si="0"/>
        <v>2</v>
      </c>
      <c r="N13" s="4" t="b">
        <f t="shared" si="1"/>
        <v>0</v>
      </c>
    </row>
    <row r="14" spans="1:19" x14ac:dyDescent="0.2">
      <c r="A14" t="s">
        <v>386</v>
      </c>
      <c r="B14" t="s">
        <v>360</v>
      </c>
      <c r="C14" t="s">
        <v>533</v>
      </c>
      <c r="D14" t="s">
        <v>362</v>
      </c>
      <c r="E14" t="s">
        <v>534</v>
      </c>
      <c r="F14" t="s">
        <v>364</v>
      </c>
      <c r="G14" t="s">
        <v>535</v>
      </c>
      <c r="H14" t="s">
        <v>360</v>
      </c>
      <c r="I14" t="s">
        <v>509</v>
      </c>
      <c r="J14" t="s">
        <v>367</v>
      </c>
      <c r="K14">
        <v>205</v>
      </c>
      <c r="L14" t="s">
        <v>97</v>
      </c>
      <c r="M14" s="4">
        <f t="shared" si="0"/>
        <v>2</v>
      </c>
      <c r="N14" s="4" t="b">
        <f t="shared" si="1"/>
        <v>0</v>
      </c>
    </row>
    <row r="15" spans="1:19" x14ac:dyDescent="0.2">
      <c r="A15" t="s">
        <v>388</v>
      </c>
      <c r="B15" t="s">
        <v>360</v>
      </c>
      <c r="C15" t="s">
        <v>533</v>
      </c>
      <c r="D15" t="s">
        <v>362</v>
      </c>
      <c r="E15" t="s">
        <v>534</v>
      </c>
      <c r="F15" t="s">
        <v>364</v>
      </c>
      <c r="G15" t="s">
        <v>535</v>
      </c>
      <c r="H15" t="s">
        <v>360</v>
      </c>
      <c r="I15" t="s">
        <v>509</v>
      </c>
      <c r="J15" t="s">
        <v>367</v>
      </c>
      <c r="K15">
        <v>220</v>
      </c>
      <c r="L15" t="s">
        <v>97</v>
      </c>
      <c r="M15" s="4">
        <f t="shared" si="0"/>
        <v>2</v>
      </c>
      <c r="N15" s="4" t="b">
        <f t="shared" si="1"/>
        <v>0</v>
      </c>
    </row>
    <row r="16" spans="1:19" x14ac:dyDescent="0.2">
      <c r="A16" t="s">
        <v>390</v>
      </c>
      <c r="B16" t="s">
        <v>360</v>
      </c>
      <c r="C16" t="s">
        <v>533</v>
      </c>
      <c r="D16" t="s">
        <v>362</v>
      </c>
      <c r="E16" t="s">
        <v>534</v>
      </c>
      <c r="F16" t="s">
        <v>364</v>
      </c>
      <c r="G16" t="s">
        <v>535</v>
      </c>
      <c r="H16" t="s">
        <v>360</v>
      </c>
      <c r="I16" t="s">
        <v>509</v>
      </c>
      <c r="J16" t="s">
        <v>367</v>
      </c>
      <c r="K16">
        <v>235</v>
      </c>
      <c r="L16" t="s">
        <v>97</v>
      </c>
      <c r="M16" s="4">
        <f t="shared" si="0"/>
        <v>2</v>
      </c>
      <c r="N16" s="4" t="b">
        <f t="shared" si="1"/>
        <v>0</v>
      </c>
    </row>
    <row r="17" spans="1:14" x14ac:dyDescent="0.2">
      <c r="A17" t="s">
        <v>392</v>
      </c>
      <c r="B17" t="s">
        <v>360</v>
      </c>
      <c r="C17" t="s">
        <v>533</v>
      </c>
      <c r="D17" t="s">
        <v>362</v>
      </c>
      <c r="E17" t="s">
        <v>534</v>
      </c>
      <c r="F17" t="s">
        <v>364</v>
      </c>
      <c r="G17" t="s">
        <v>535</v>
      </c>
      <c r="H17" t="s">
        <v>360</v>
      </c>
      <c r="I17" t="s">
        <v>509</v>
      </c>
      <c r="J17" t="s">
        <v>367</v>
      </c>
      <c r="K17">
        <v>250</v>
      </c>
      <c r="L17" t="s">
        <v>97</v>
      </c>
      <c r="M17" s="4">
        <f t="shared" si="0"/>
        <v>2</v>
      </c>
      <c r="N17" s="4" t="b">
        <f t="shared" si="1"/>
        <v>0</v>
      </c>
    </row>
    <row r="18" spans="1:14" x14ac:dyDescent="0.2">
      <c r="A18" t="s">
        <v>394</v>
      </c>
      <c r="B18" t="s">
        <v>360</v>
      </c>
      <c r="C18" t="s">
        <v>533</v>
      </c>
      <c r="D18" t="s">
        <v>362</v>
      </c>
      <c r="E18" t="s">
        <v>534</v>
      </c>
      <c r="F18" t="s">
        <v>364</v>
      </c>
      <c r="G18" t="s">
        <v>535</v>
      </c>
      <c r="H18" t="s">
        <v>360</v>
      </c>
      <c r="I18" t="s">
        <v>510</v>
      </c>
      <c r="J18" t="s">
        <v>367</v>
      </c>
      <c r="K18">
        <v>275</v>
      </c>
      <c r="L18" t="s">
        <v>97</v>
      </c>
      <c r="M18" s="4">
        <f t="shared" si="0"/>
        <v>3</v>
      </c>
      <c r="N18" s="4" t="b">
        <f t="shared" si="1"/>
        <v>0</v>
      </c>
    </row>
    <row r="19" spans="1:14" x14ac:dyDescent="0.2">
      <c r="A19" t="s">
        <v>396</v>
      </c>
      <c r="B19" t="s">
        <v>360</v>
      </c>
      <c r="C19" t="s">
        <v>533</v>
      </c>
      <c r="D19" t="s">
        <v>362</v>
      </c>
      <c r="E19" t="s">
        <v>534</v>
      </c>
      <c r="F19" t="s">
        <v>364</v>
      </c>
      <c r="G19" t="s">
        <v>535</v>
      </c>
      <c r="H19" t="s">
        <v>360</v>
      </c>
      <c r="I19" t="s">
        <v>510</v>
      </c>
      <c r="J19" t="s">
        <v>367</v>
      </c>
      <c r="K19">
        <v>300</v>
      </c>
      <c r="L19" t="s">
        <v>97</v>
      </c>
      <c r="M19" s="4">
        <f t="shared" si="0"/>
        <v>3</v>
      </c>
      <c r="N19" s="4" t="b">
        <f t="shared" si="1"/>
        <v>0</v>
      </c>
    </row>
    <row r="20" spans="1:14" x14ac:dyDescent="0.2">
      <c r="A20" t="s">
        <v>398</v>
      </c>
      <c r="B20" t="s">
        <v>360</v>
      </c>
      <c r="C20" t="s">
        <v>533</v>
      </c>
      <c r="D20" t="s">
        <v>362</v>
      </c>
      <c r="E20" t="s">
        <v>534</v>
      </c>
      <c r="F20" t="s">
        <v>364</v>
      </c>
      <c r="G20" t="s">
        <v>535</v>
      </c>
      <c r="H20" t="s">
        <v>360</v>
      </c>
      <c r="I20" t="s">
        <v>510</v>
      </c>
      <c r="J20" t="s">
        <v>367</v>
      </c>
      <c r="K20">
        <v>325</v>
      </c>
      <c r="L20" t="s">
        <v>97</v>
      </c>
      <c r="M20" s="4">
        <f t="shared" si="0"/>
        <v>3</v>
      </c>
      <c r="N20" s="4" t="b">
        <f t="shared" si="1"/>
        <v>0</v>
      </c>
    </row>
    <row r="21" spans="1:14" x14ac:dyDescent="0.2">
      <c r="A21" t="s">
        <v>400</v>
      </c>
      <c r="B21" t="s">
        <v>360</v>
      </c>
      <c r="C21" t="s">
        <v>533</v>
      </c>
      <c r="D21" t="s">
        <v>362</v>
      </c>
      <c r="E21" t="s">
        <v>534</v>
      </c>
      <c r="F21" t="s">
        <v>364</v>
      </c>
      <c r="G21" t="s">
        <v>535</v>
      </c>
      <c r="H21" t="s">
        <v>360</v>
      </c>
      <c r="I21" t="s">
        <v>511</v>
      </c>
      <c r="J21" t="s">
        <v>367</v>
      </c>
      <c r="K21">
        <v>350</v>
      </c>
      <c r="L21" t="s">
        <v>97</v>
      </c>
      <c r="M21" s="4">
        <f t="shared" si="0"/>
        <v>4</v>
      </c>
      <c r="N21" s="4" t="b">
        <f t="shared" si="1"/>
        <v>0</v>
      </c>
    </row>
    <row r="22" spans="1:14" x14ac:dyDescent="0.2">
      <c r="A22" t="s">
        <v>402</v>
      </c>
      <c r="B22" t="s">
        <v>360</v>
      </c>
      <c r="C22" t="s">
        <v>533</v>
      </c>
      <c r="D22" t="s">
        <v>362</v>
      </c>
      <c r="E22" t="s">
        <v>534</v>
      </c>
      <c r="F22" t="s">
        <v>364</v>
      </c>
      <c r="G22" t="s">
        <v>535</v>
      </c>
      <c r="H22" t="s">
        <v>360</v>
      </c>
      <c r="I22" t="s">
        <v>511</v>
      </c>
      <c r="J22" t="s">
        <v>367</v>
      </c>
      <c r="K22">
        <v>400</v>
      </c>
      <c r="L22" t="s">
        <v>97</v>
      </c>
      <c r="M22" s="4">
        <f t="shared" si="0"/>
        <v>4</v>
      </c>
      <c r="N22" s="4" t="b">
        <f t="shared" si="1"/>
        <v>0</v>
      </c>
    </row>
    <row r="23" spans="1:14" x14ac:dyDescent="0.2">
      <c r="A23" t="s">
        <v>404</v>
      </c>
      <c r="B23" t="s">
        <v>360</v>
      </c>
      <c r="C23" t="s">
        <v>533</v>
      </c>
      <c r="D23" t="s">
        <v>362</v>
      </c>
      <c r="E23" t="s">
        <v>534</v>
      </c>
      <c r="F23" t="s">
        <v>364</v>
      </c>
      <c r="G23" t="s">
        <v>535</v>
      </c>
      <c r="H23" t="s">
        <v>360</v>
      </c>
      <c r="I23" t="s">
        <v>512</v>
      </c>
      <c r="J23" t="s">
        <v>367</v>
      </c>
      <c r="K23">
        <v>450</v>
      </c>
      <c r="L23" t="s">
        <v>97</v>
      </c>
      <c r="M23" s="4">
        <f t="shared" si="0"/>
        <v>5</v>
      </c>
      <c r="N23" s="4" t="b">
        <f t="shared" si="1"/>
        <v>0</v>
      </c>
    </row>
    <row r="24" spans="1:14" x14ac:dyDescent="0.2">
      <c r="A24" t="s">
        <v>406</v>
      </c>
      <c r="B24" t="s">
        <v>360</v>
      </c>
      <c r="C24" t="s">
        <v>533</v>
      </c>
      <c r="D24" t="s">
        <v>362</v>
      </c>
      <c r="E24" t="s">
        <v>534</v>
      </c>
      <c r="F24" t="s">
        <v>364</v>
      </c>
      <c r="G24" t="s">
        <v>535</v>
      </c>
      <c r="H24" t="s">
        <v>360</v>
      </c>
      <c r="I24" t="s">
        <v>513</v>
      </c>
      <c r="J24" t="s">
        <v>367</v>
      </c>
      <c r="K24">
        <v>500</v>
      </c>
      <c r="L24" t="s">
        <v>97</v>
      </c>
      <c r="M24" s="4">
        <f t="shared" si="0"/>
        <v>6</v>
      </c>
      <c r="N24" s="4" t="b">
        <f t="shared" si="1"/>
        <v>0</v>
      </c>
    </row>
    <row r="25" spans="1:14" x14ac:dyDescent="0.2">
      <c r="A25" t="s">
        <v>408</v>
      </c>
      <c r="B25" t="s">
        <v>360</v>
      </c>
      <c r="C25" t="s">
        <v>533</v>
      </c>
      <c r="D25" t="s">
        <v>362</v>
      </c>
      <c r="E25" t="s">
        <v>534</v>
      </c>
      <c r="F25" t="s">
        <v>364</v>
      </c>
      <c r="G25" t="s">
        <v>535</v>
      </c>
      <c r="H25" t="s">
        <v>360</v>
      </c>
      <c r="I25" t="s">
        <v>513</v>
      </c>
      <c r="J25" t="s">
        <v>367</v>
      </c>
      <c r="K25">
        <v>550</v>
      </c>
      <c r="L25" t="s">
        <v>97</v>
      </c>
      <c r="M25" s="4">
        <f t="shared" si="0"/>
        <v>6</v>
      </c>
      <c r="N25" s="4" t="b">
        <f t="shared" si="1"/>
        <v>0</v>
      </c>
    </row>
    <row r="26" spans="1:14" x14ac:dyDescent="0.2">
      <c r="A26" t="s">
        <v>410</v>
      </c>
      <c r="B26" t="s">
        <v>360</v>
      </c>
      <c r="C26" t="s">
        <v>533</v>
      </c>
      <c r="D26" t="s">
        <v>362</v>
      </c>
      <c r="E26" t="s">
        <v>534</v>
      </c>
      <c r="F26" t="s">
        <v>364</v>
      </c>
      <c r="G26" t="s">
        <v>535</v>
      </c>
      <c r="H26" t="s">
        <v>360</v>
      </c>
      <c r="I26" t="s">
        <v>514</v>
      </c>
      <c r="J26" t="s">
        <v>367</v>
      </c>
      <c r="K26">
        <v>600</v>
      </c>
      <c r="L26" t="s">
        <v>97</v>
      </c>
      <c r="M26" s="4">
        <f t="shared" si="0"/>
        <v>7</v>
      </c>
      <c r="N26" s="4" t="b">
        <f t="shared" si="1"/>
        <v>0</v>
      </c>
    </row>
    <row r="27" spans="1:14" x14ac:dyDescent="0.2">
      <c r="A27" t="s">
        <v>412</v>
      </c>
      <c r="B27" t="s">
        <v>360</v>
      </c>
      <c r="C27" t="s">
        <v>533</v>
      </c>
      <c r="D27" t="s">
        <v>362</v>
      </c>
      <c r="E27" t="s">
        <v>534</v>
      </c>
      <c r="F27" t="s">
        <v>364</v>
      </c>
      <c r="G27" t="s">
        <v>535</v>
      </c>
      <c r="H27" t="s">
        <v>360</v>
      </c>
      <c r="I27" t="s">
        <v>514</v>
      </c>
      <c r="J27" t="s">
        <v>367</v>
      </c>
      <c r="K27">
        <v>650</v>
      </c>
      <c r="L27" t="s">
        <v>97</v>
      </c>
      <c r="M27" s="4">
        <f t="shared" si="0"/>
        <v>7</v>
      </c>
      <c r="N27" s="4" t="b">
        <f t="shared" si="1"/>
        <v>0</v>
      </c>
    </row>
    <row r="28" spans="1:14" x14ac:dyDescent="0.2">
      <c r="A28" t="s">
        <v>414</v>
      </c>
      <c r="B28" t="s">
        <v>360</v>
      </c>
      <c r="C28" t="s">
        <v>533</v>
      </c>
      <c r="D28" t="s">
        <v>362</v>
      </c>
      <c r="E28" t="s">
        <v>534</v>
      </c>
      <c r="F28" t="s">
        <v>364</v>
      </c>
      <c r="G28" t="s">
        <v>535</v>
      </c>
      <c r="H28" t="s">
        <v>360</v>
      </c>
      <c r="I28" t="s">
        <v>515</v>
      </c>
      <c r="J28" t="s">
        <v>367</v>
      </c>
      <c r="K28">
        <v>700</v>
      </c>
      <c r="L28" t="s">
        <v>97</v>
      </c>
      <c r="M28" s="4">
        <f t="shared" si="0"/>
        <v>8</v>
      </c>
      <c r="N28" s="4" t="b">
        <f t="shared" si="1"/>
        <v>0</v>
      </c>
    </row>
    <row r="29" spans="1:14" x14ac:dyDescent="0.2">
      <c r="A29" t="s">
        <v>416</v>
      </c>
      <c r="B29" t="s">
        <v>360</v>
      </c>
      <c r="C29" t="s">
        <v>533</v>
      </c>
      <c r="D29" t="s">
        <v>362</v>
      </c>
      <c r="E29" t="s">
        <v>534</v>
      </c>
      <c r="F29" t="s">
        <v>364</v>
      </c>
      <c r="G29" t="s">
        <v>535</v>
      </c>
      <c r="H29" t="s">
        <v>360</v>
      </c>
      <c r="I29" t="s">
        <v>515</v>
      </c>
      <c r="J29" t="s">
        <v>367</v>
      </c>
      <c r="K29">
        <v>750</v>
      </c>
      <c r="L29" t="s">
        <v>97</v>
      </c>
      <c r="M29" s="4">
        <f t="shared" si="0"/>
        <v>8</v>
      </c>
      <c r="N29" s="4" t="b">
        <f t="shared" si="1"/>
        <v>0</v>
      </c>
    </row>
    <row r="30" spans="1:14" x14ac:dyDescent="0.2">
      <c r="A30" t="s">
        <v>418</v>
      </c>
      <c r="B30" t="s">
        <v>360</v>
      </c>
      <c r="C30" t="s">
        <v>533</v>
      </c>
      <c r="D30" t="s">
        <v>362</v>
      </c>
      <c r="E30" t="s">
        <v>534</v>
      </c>
      <c r="F30" t="s">
        <v>364</v>
      </c>
      <c r="G30" t="s">
        <v>535</v>
      </c>
      <c r="H30" t="s">
        <v>360</v>
      </c>
      <c r="I30" t="s">
        <v>516</v>
      </c>
      <c r="J30" t="s">
        <v>367</v>
      </c>
      <c r="K30">
        <v>800</v>
      </c>
      <c r="L30" t="s">
        <v>97</v>
      </c>
      <c r="M30" s="4">
        <f t="shared" si="0"/>
        <v>9</v>
      </c>
      <c r="N30" s="4" t="b">
        <f t="shared" si="1"/>
        <v>0</v>
      </c>
    </row>
    <row r="31" spans="1:14" x14ac:dyDescent="0.2">
      <c r="A31" t="s">
        <v>420</v>
      </c>
      <c r="B31" t="s">
        <v>360</v>
      </c>
      <c r="C31" t="s">
        <v>533</v>
      </c>
      <c r="D31" t="s">
        <v>362</v>
      </c>
      <c r="E31" t="s">
        <v>534</v>
      </c>
      <c r="F31" t="s">
        <v>364</v>
      </c>
      <c r="G31" t="s">
        <v>535</v>
      </c>
      <c r="H31" t="s">
        <v>360</v>
      </c>
      <c r="I31" t="s">
        <v>516</v>
      </c>
      <c r="J31" t="s">
        <v>367</v>
      </c>
      <c r="K31">
        <v>850</v>
      </c>
      <c r="L31" t="s">
        <v>97</v>
      </c>
      <c r="M31" s="4">
        <f t="shared" si="0"/>
        <v>9</v>
      </c>
      <c r="N31" s="4" t="b">
        <f t="shared" si="1"/>
        <v>0</v>
      </c>
    </row>
    <row r="32" spans="1:14" x14ac:dyDescent="0.2">
      <c r="A32" t="s">
        <v>422</v>
      </c>
      <c r="B32" t="s">
        <v>360</v>
      </c>
      <c r="C32" t="s">
        <v>533</v>
      </c>
      <c r="D32" t="s">
        <v>362</v>
      </c>
      <c r="E32" t="s">
        <v>534</v>
      </c>
      <c r="F32" t="s">
        <v>364</v>
      </c>
      <c r="G32" t="s">
        <v>535</v>
      </c>
      <c r="H32" t="s">
        <v>360</v>
      </c>
      <c r="I32" t="s">
        <v>516</v>
      </c>
      <c r="J32" t="s">
        <v>367</v>
      </c>
      <c r="K32">
        <v>900</v>
      </c>
      <c r="L32" t="s">
        <v>97</v>
      </c>
      <c r="M32" s="4">
        <f t="shared" si="0"/>
        <v>9</v>
      </c>
      <c r="N32" s="4" t="b">
        <f t="shared" si="1"/>
        <v>0</v>
      </c>
    </row>
    <row r="33" spans="1:14" x14ac:dyDescent="0.2">
      <c r="A33" t="s">
        <v>424</v>
      </c>
      <c r="B33" t="s">
        <v>360</v>
      </c>
      <c r="C33" t="s">
        <v>533</v>
      </c>
      <c r="D33" t="s">
        <v>362</v>
      </c>
      <c r="E33" t="s">
        <v>534</v>
      </c>
      <c r="F33" t="s">
        <v>364</v>
      </c>
      <c r="G33" t="s">
        <v>535</v>
      </c>
      <c r="H33" t="s">
        <v>360</v>
      </c>
      <c r="I33" t="s">
        <v>517</v>
      </c>
      <c r="J33" t="s">
        <v>367</v>
      </c>
      <c r="K33">
        <v>950</v>
      </c>
      <c r="L33" t="s">
        <v>97</v>
      </c>
      <c r="M33" s="4">
        <f t="shared" si="0"/>
        <v>10</v>
      </c>
      <c r="N33" s="4" t="b">
        <f t="shared" si="1"/>
        <v>0</v>
      </c>
    </row>
    <row r="34" spans="1:14" x14ac:dyDescent="0.2">
      <c r="A34" t="s">
        <v>426</v>
      </c>
      <c r="B34" t="s">
        <v>360</v>
      </c>
      <c r="C34" t="s">
        <v>533</v>
      </c>
      <c r="D34" t="s">
        <v>362</v>
      </c>
      <c r="E34" t="s">
        <v>534</v>
      </c>
      <c r="F34" t="s">
        <v>364</v>
      </c>
      <c r="G34" t="s">
        <v>535</v>
      </c>
      <c r="H34" t="s">
        <v>360</v>
      </c>
      <c r="I34" t="s">
        <v>517</v>
      </c>
      <c r="J34" t="s">
        <v>367</v>
      </c>
      <c r="K34">
        <v>1000</v>
      </c>
      <c r="L34" t="s">
        <v>97</v>
      </c>
      <c r="M34" s="4">
        <f t="shared" si="0"/>
        <v>10</v>
      </c>
      <c r="N34" s="4" t="b">
        <f t="shared" si="1"/>
        <v>0</v>
      </c>
    </row>
    <row r="35" spans="1:14" x14ac:dyDescent="0.2">
      <c r="A35" t="s">
        <v>428</v>
      </c>
      <c r="B35" t="s">
        <v>360</v>
      </c>
      <c r="C35" t="s">
        <v>533</v>
      </c>
      <c r="D35" t="s">
        <v>362</v>
      </c>
      <c r="E35" t="s">
        <v>534</v>
      </c>
      <c r="F35" t="s">
        <v>364</v>
      </c>
      <c r="G35" t="s">
        <v>535</v>
      </c>
      <c r="H35" t="s">
        <v>360</v>
      </c>
      <c r="I35" t="s">
        <v>518</v>
      </c>
      <c r="J35" t="s">
        <v>367</v>
      </c>
      <c r="K35">
        <v>1050</v>
      </c>
      <c r="L35" t="s">
        <v>97</v>
      </c>
      <c r="M35" s="4">
        <f t="shared" si="0"/>
        <v>11</v>
      </c>
      <c r="N35" s="4" t="b">
        <f t="shared" si="1"/>
        <v>0</v>
      </c>
    </row>
    <row r="36" spans="1:14" x14ac:dyDescent="0.2">
      <c r="A36" t="s">
        <v>430</v>
      </c>
      <c r="B36" t="s">
        <v>360</v>
      </c>
      <c r="C36" t="s">
        <v>533</v>
      </c>
      <c r="D36" t="s">
        <v>362</v>
      </c>
      <c r="E36" t="s">
        <v>534</v>
      </c>
      <c r="F36" t="s">
        <v>364</v>
      </c>
      <c r="G36" t="s">
        <v>535</v>
      </c>
      <c r="H36" t="s">
        <v>360</v>
      </c>
      <c r="I36" t="s">
        <v>518</v>
      </c>
      <c r="J36" t="s">
        <v>367</v>
      </c>
      <c r="K36">
        <v>1100</v>
      </c>
      <c r="L36" t="s">
        <v>97</v>
      </c>
      <c r="M36" s="4">
        <f t="shared" si="0"/>
        <v>11</v>
      </c>
      <c r="N36" s="4" t="b">
        <f t="shared" si="1"/>
        <v>0</v>
      </c>
    </row>
    <row r="37" spans="1:14" x14ac:dyDescent="0.2">
      <c r="A37" t="s">
        <v>432</v>
      </c>
      <c r="B37" t="s">
        <v>360</v>
      </c>
      <c r="C37" t="s">
        <v>533</v>
      </c>
      <c r="D37" t="s">
        <v>362</v>
      </c>
      <c r="E37" t="s">
        <v>534</v>
      </c>
      <c r="F37" t="s">
        <v>364</v>
      </c>
      <c r="G37" t="s">
        <v>535</v>
      </c>
      <c r="H37" t="s">
        <v>360</v>
      </c>
      <c r="I37" t="s">
        <v>519</v>
      </c>
      <c r="J37" t="s">
        <v>367</v>
      </c>
      <c r="K37">
        <v>1150</v>
      </c>
      <c r="L37" t="s">
        <v>97</v>
      </c>
      <c r="M37" s="4">
        <f t="shared" si="0"/>
        <v>12</v>
      </c>
      <c r="N37" s="4" t="b">
        <f t="shared" si="1"/>
        <v>0</v>
      </c>
    </row>
    <row r="38" spans="1:14" x14ac:dyDescent="0.2">
      <c r="A38" t="s">
        <v>434</v>
      </c>
      <c r="B38" t="s">
        <v>360</v>
      </c>
      <c r="C38" t="s">
        <v>533</v>
      </c>
      <c r="D38" t="s">
        <v>362</v>
      </c>
      <c r="E38" t="s">
        <v>534</v>
      </c>
      <c r="F38" t="s">
        <v>364</v>
      </c>
      <c r="G38" t="s">
        <v>535</v>
      </c>
      <c r="H38" t="s">
        <v>360</v>
      </c>
      <c r="I38" t="s">
        <v>519</v>
      </c>
      <c r="J38" t="s">
        <v>367</v>
      </c>
      <c r="K38">
        <v>1200</v>
      </c>
      <c r="L38" t="s">
        <v>97</v>
      </c>
      <c r="M38" s="4">
        <f t="shared" si="0"/>
        <v>12</v>
      </c>
      <c r="N38" s="4" t="b">
        <f t="shared" si="1"/>
        <v>0</v>
      </c>
    </row>
    <row r="39" spans="1:14" x14ac:dyDescent="0.2">
      <c r="A39" t="s">
        <v>436</v>
      </c>
      <c r="B39" t="s">
        <v>360</v>
      </c>
      <c r="C39" t="s">
        <v>533</v>
      </c>
      <c r="D39" t="s">
        <v>362</v>
      </c>
      <c r="E39" t="s">
        <v>534</v>
      </c>
      <c r="F39" t="s">
        <v>364</v>
      </c>
      <c r="G39" t="s">
        <v>535</v>
      </c>
      <c r="H39" t="s">
        <v>360</v>
      </c>
      <c r="I39" t="s">
        <v>520</v>
      </c>
      <c r="J39" t="s">
        <v>367</v>
      </c>
      <c r="K39">
        <v>1250</v>
      </c>
      <c r="L39" t="s">
        <v>97</v>
      </c>
      <c r="M39" s="4">
        <f t="shared" si="0"/>
        <v>13</v>
      </c>
      <c r="N39" s="4" t="b">
        <f t="shared" si="1"/>
        <v>0</v>
      </c>
    </row>
    <row r="40" spans="1:14" x14ac:dyDescent="0.2">
      <c r="A40" t="s">
        <v>438</v>
      </c>
      <c r="B40" t="s">
        <v>360</v>
      </c>
      <c r="C40" t="s">
        <v>533</v>
      </c>
      <c r="D40" t="s">
        <v>362</v>
      </c>
      <c r="E40" t="s">
        <v>534</v>
      </c>
      <c r="F40" t="s">
        <v>364</v>
      </c>
      <c r="G40" t="s">
        <v>535</v>
      </c>
      <c r="H40" t="s">
        <v>360</v>
      </c>
      <c r="I40" t="s">
        <v>520</v>
      </c>
      <c r="J40" t="s">
        <v>367</v>
      </c>
      <c r="K40">
        <v>1300</v>
      </c>
      <c r="L40" t="s">
        <v>97</v>
      </c>
      <c r="M40" s="4">
        <f t="shared" si="0"/>
        <v>13</v>
      </c>
      <c r="N40" s="4" t="b">
        <f t="shared" si="1"/>
        <v>0</v>
      </c>
    </row>
    <row r="41" spans="1:14" x14ac:dyDescent="0.2">
      <c r="A41" t="s">
        <v>440</v>
      </c>
      <c r="B41" t="s">
        <v>360</v>
      </c>
      <c r="C41" t="s">
        <v>533</v>
      </c>
      <c r="D41" t="s">
        <v>362</v>
      </c>
      <c r="E41" t="s">
        <v>534</v>
      </c>
      <c r="F41" t="s">
        <v>364</v>
      </c>
      <c r="G41" t="s">
        <v>535</v>
      </c>
      <c r="H41" t="s">
        <v>360</v>
      </c>
      <c r="I41" t="s">
        <v>521</v>
      </c>
      <c r="J41" t="s">
        <v>367</v>
      </c>
      <c r="K41">
        <v>1350</v>
      </c>
      <c r="L41" t="s">
        <v>97</v>
      </c>
      <c r="M41" s="4">
        <f t="shared" si="0"/>
        <v>14</v>
      </c>
      <c r="N41" s="4" t="b">
        <f t="shared" si="1"/>
        <v>0</v>
      </c>
    </row>
    <row r="42" spans="1:14" x14ac:dyDescent="0.2">
      <c r="A42" t="s">
        <v>442</v>
      </c>
      <c r="B42" t="s">
        <v>360</v>
      </c>
      <c r="C42" t="s">
        <v>533</v>
      </c>
      <c r="D42" t="s">
        <v>362</v>
      </c>
      <c r="E42" t="s">
        <v>534</v>
      </c>
      <c r="F42" t="s">
        <v>364</v>
      </c>
      <c r="G42" t="s">
        <v>535</v>
      </c>
      <c r="H42" t="s">
        <v>360</v>
      </c>
      <c r="I42" t="s">
        <v>521</v>
      </c>
      <c r="J42" t="s">
        <v>367</v>
      </c>
      <c r="K42">
        <v>1400</v>
      </c>
      <c r="L42" t="s">
        <v>97</v>
      </c>
      <c r="M42" s="4">
        <f t="shared" si="0"/>
        <v>14</v>
      </c>
      <c r="N42" s="4" t="b">
        <f t="shared" si="1"/>
        <v>0</v>
      </c>
    </row>
    <row r="43" spans="1:14" x14ac:dyDescent="0.2">
      <c r="A43" t="s">
        <v>444</v>
      </c>
      <c r="B43" t="s">
        <v>360</v>
      </c>
      <c r="C43" t="s">
        <v>533</v>
      </c>
      <c r="D43" t="s">
        <v>362</v>
      </c>
      <c r="E43" t="s">
        <v>534</v>
      </c>
      <c r="F43" t="s">
        <v>364</v>
      </c>
      <c r="G43" t="s">
        <v>535</v>
      </c>
      <c r="H43" t="s">
        <v>360</v>
      </c>
      <c r="I43" t="s">
        <v>522</v>
      </c>
      <c r="J43" t="s">
        <v>367</v>
      </c>
      <c r="K43">
        <v>1450</v>
      </c>
      <c r="L43" t="s">
        <v>97</v>
      </c>
      <c r="M43" s="4">
        <f t="shared" si="0"/>
        <v>15</v>
      </c>
      <c r="N43" s="4" t="b">
        <f t="shared" si="1"/>
        <v>0</v>
      </c>
    </row>
    <row r="44" spans="1:14" x14ac:dyDescent="0.2">
      <c r="A44" t="s">
        <v>446</v>
      </c>
      <c r="B44" t="s">
        <v>360</v>
      </c>
      <c r="C44" t="s">
        <v>533</v>
      </c>
      <c r="D44" t="s">
        <v>362</v>
      </c>
      <c r="E44" t="s">
        <v>534</v>
      </c>
      <c r="F44" t="s">
        <v>364</v>
      </c>
      <c r="G44" t="s">
        <v>535</v>
      </c>
      <c r="H44" t="s">
        <v>360</v>
      </c>
      <c r="I44" t="s">
        <v>522</v>
      </c>
      <c r="J44" t="s">
        <v>367</v>
      </c>
      <c r="K44">
        <v>1500</v>
      </c>
      <c r="L44" t="s">
        <v>97</v>
      </c>
      <c r="M44" s="4">
        <f t="shared" si="0"/>
        <v>15</v>
      </c>
      <c r="N44" s="4" t="b">
        <f t="shared" si="1"/>
        <v>0</v>
      </c>
    </row>
    <row r="45" spans="1:14" x14ac:dyDescent="0.2">
      <c r="A45" t="s">
        <v>448</v>
      </c>
      <c r="B45" t="s">
        <v>360</v>
      </c>
      <c r="C45" t="s">
        <v>533</v>
      </c>
      <c r="D45" t="s">
        <v>362</v>
      </c>
      <c r="E45" t="s">
        <v>534</v>
      </c>
      <c r="F45" t="s">
        <v>364</v>
      </c>
      <c r="G45" t="s">
        <v>535</v>
      </c>
      <c r="H45" t="s">
        <v>360</v>
      </c>
      <c r="I45" t="s">
        <v>522</v>
      </c>
      <c r="J45" t="s">
        <v>367</v>
      </c>
      <c r="K45">
        <v>1550</v>
      </c>
      <c r="L45" t="s">
        <v>97</v>
      </c>
      <c r="M45" s="4">
        <f t="shared" si="0"/>
        <v>15</v>
      </c>
      <c r="N45" s="4" t="b">
        <f t="shared" si="1"/>
        <v>0</v>
      </c>
    </row>
    <row r="46" spans="1:14" x14ac:dyDescent="0.2">
      <c r="A46" t="s">
        <v>450</v>
      </c>
      <c r="B46" t="s">
        <v>360</v>
      </c>
      <c r="C46" t="s">
        <v>533</v>
      </c>
      <c r="D46" t="s">
        <v>362</v>
      </c>
      <c r="E46" t="s">
        <v>534</v>
      </c>
      <c r="F46" t="s">
        <v>364</v>
      </c>
      <c r="G46" t="s">
        <v>535</v>
      </c>
      <c r="H46" t="s">
        <v>360</v>
      </c>
      <c r="I46" t="s">
        <v>523</v>
      </c>
      <c r="J46" t="s">
        <v>367</v>
      </c>
      <c r="K46">
        <v>1600</v>
      </c>
      <c r="L46" t="s">
        <v>97</v>
      </c>
      <c r="M46" s="4">
        <f t="shared" si="0"/>
        <v>16</v>
      </c>
      <c r="N46" s="4" t="b">
        <f t="shared" si="1"/>
        <v>0</v>
      </c>
    </row>
    <row r="47" spans="1:14" x14ac:dyDescent="0.2">
      <c r="A47" t="s">
        <v>452</v>
      </c>
      <c r="B47" t="s">
        <v>360</v>
      </c>
      <c r="C47" t="s">
        <v>533</v>
      </c>
      <c r="D47" t="s">
        <v>362</v>
      </c>
      <c r="E47" t="s">
        <v>534</v>
      </c>
      <c r="F47" t="s">
        <v>364</v>
      </c>
      <c r="G47" t="s">
        <v>535</v>
      </c>
      <c r="H47" t="s">
        <v>360</v>
      </c>
      <c r="I47" t="s">
        <v>523</v>
      </c>
      <c r="J47" t="s">
        <v>367</v>
      </c>
      <c r="K47">
        <v>1650</v>
      </c>
      <c r="L47" t="s">
        <v>97</v>
      </c>
      <c r="M47" s="4">
        <f t="shared" si="0"/>
        <v>16</v>
      </c>
      <c r="N47" s="4" t="b">
        <f t="shared" si="1"/>
        <v>0</v>
      </c>
    </row>
    <row r="48" spans="1:14" x14ac:dyDescent="0.2">
      <c r="A48" t="s">
        <v>454</v>
      </c>
      <c r="B48" t="s">
        <v>360</v>
      </c>
      <c r="C48" t="s">
        <v>533</v>
      </c>
      <c r="D48" t="s">
        <v>362</v>
      </c>
      <c r="E48" t="s">
        <v>534</v>
      </c>
      <c r="F48" t="s">
        <v>364</v>
      </c>
      <c r="G48" t="s">
        <v>535</v>
      </c>
      <c r="H48" t="s">
        <v>360</v>
      </c>
      <c r="I48" t="s">
        <v>524</v>
      </c>
      <c r="J48" t="s">
        <v>367</v>
      </c>
      <c r="K48">
        <v>1700</v>
      </c>
      <c r="L48" t="s">
        <v>97</v>
      </c>
      <c r="M48" s="4">
        <f t="shared" si="0"/>
        <v>17</v>
      </c>
      <c r="N48" s="4" t="b">
        <f t="shared" si="1"/>
        <v>0</v>
      </c>
    </row>
    <row r="49" spans="1:14" x14ac:dyDescent="0.2">
      <c r="A49" t="s">
        <v>456</v>
      </c>
      <c r="B49" t="s">
        <v>360</v>
      </c>
      <c r="C49" t="s">
        <v>533</v>
      </c>
      <c r="D49" t="s">
        <v>362</v>
      </c>
      <c r="E49" t="s">
        <v>534</v>
      </c>
      <c r="F49" t="s">
        <v>364</v>
      </c>
      <c r="G49" t="s">
        <v>535</v>
      </c>
      <c r="H49" t="s">
        <v>360</v>
      </c>
      <c r="I49" t="s">
        <v>524</v>
      </c>
      <c r="J49" t="s">
        <v>367</v>
      </c>
      <c r="K49">
        <v>1750</v>
      </c>
      <c r="L49" t="s">
        <v>97</v>
      </c>
      <c r="M49" s="4">
        <f t="shared" si="0"/>
        <v>17</v>
      </c>
      <c r="N49" s="4" t="b">
        <f t="shared" si="1"/>
        <v>0</v>
      </c>
    </row>
    <row r="50" spans="1:14" x14ac:dyDescent="0.2">
      <c r="A50" t="s">
        <v>458</v>
      </c>
      <c r="B50" t="s">
        <v>360</v>
      </c>
      <c r="C50" t="s">
        <v>533</v>
      </c>
      <c r="D50" t="s">
        <v>362</v>
      </c>
      <c r="E50" t="s">
        <v>534</v>
      </c>
      <c r="F50" t="s">
        <v>364</v>
      </c>
      <c r="G50" t="s">
        <v>535</v>
      </c>
      <c r="H50" t="s">
        <v>360</v>
      </c>
      <c r="I50" t="s">
        <v>525</v>
      </c>
      <c r="J50" t="s">
        <v>367</v>
      </c>
      <c r="K50">
        <v>1800</v>
      </c>
      <c r="L50" t="s">
        <v>97</v>
      </c>
      <c r="M50" s="4">
        <f t="shared" si="0"/>
        <v>18</v>
      </c>
      <c r="N50" s="4" t="b">
        <f t="shared" si="1"/>
        <v>0</v>
      </c>
    </row>
    <row r="51" spans="1:14" x14ac:dyDescent="0.2">
      <c r="A51" t="s">
        <v>460</v>
      </c>
      <c r="B51" t="s">
        <v>360</v>
      </c>
      <c r="C51" t="s">
        <v>533</v>
      </c>
      <c r="D51" t="s">
        <v>362</v>
      </c>
      <c r="E51" t="s">
        <v>534</v>
      </c>
      <c r="F51" t="s">
        <v>364</v>
      </c>
      <c r="G51" t="s">
        <v>535</v>
      </c>
      <c r="H51" t="s">
        <v>360</v>
      </c>
      <c r="I51" t="s">
        <v>525</v>
      </c>
      <c r="J51" t="s">
        <v>367</v>
      </c>
      <c r="K51">
        <v>1850</v>
      </c>
      <c r="L51" t="s">
        <v>97</v>
      </c>
      <c r="M51" s="4">
        <f t="shared" si="0"/>
        <v>18</v>
      </c>
      <c r="N51" s="4" t="b">
        <f t="shared" si="1"/>
        <v>0</v>
      </c>
    </row>
    <row r="52" spans="1:14" x14ac:dyDescent="0.2">
      <c r="A52" t="s">
        <v>462</v>
      </c>
      <c r="B52" t="s">
        <v>360</v>
      </c>
      <c r="C52" t="s">
        <v>533</v>
      </c>
      <c r="D52" t="s">
        <v>362</v>
      </c>
      <c r="E52" t="s">
        <v>534</v>
      </c>
      <c r="F52" t="s">
        <v>364</v>
      </c>
      <c r="G52" t="s">
        <v>535</v>
      </c>
      <c r="H52" t="s">
        <v>360</v>
      </c>
      <c r="I52" t="s">
        <v>526</v>
      </c>
      <c r="J52" t="s">
        <v>367</v>
      </c>
      <c r="K52">
        <v>1900</v>
      </c>
      <c r="L52" t="s">
        <v>97</v>
      </c>
      <c r="M52" s="4">
        <f t="shared" si="0"/>
        <v>19</v>
      </c>
      <c r="N52" s="4" t="b">
        <f t="shared" si="1"/>
        <v>0</v>
      </c>
    </row>
    <row r="53" spans="1:14" x14ac:dyDescent="0.2">
      <c r="A53" t="s">
        <v>464</v>
      </c>
      <c r="B53" t="s">
        <v>360</v>
      </c>
      <c r="C53" t="s">
        <v>533</v>
      </c>
      <c r="D53" t="s">
        <v>362</v>
      </c>
      <c r="E53" t="s">
        <v>534</v>
      </c>
      <c r="F53" t="s">
        <v>364</v>
      </c>
      <c r="G53" t="s">
        <v>535</v>
      </c>
      <c r="H53" t="s">
        <v>360</v>
      </c>
      <c r="I53" t="s">
        <v>526</v>
      </c>
      <c r="J53" t="s">
        <v>367</v>
      </c>
      <c r="K53">
        <v>1950</v>
      </c>
      <c r="L53" t="s">
        <v>97</v>
      </c>
      <c r="M53" s="4">
        <f t="shared" si="0"/>
        <v>19</v>
      </c>
      <c r="N53" s="4" t="b">
        <f t="shared" si="1"/>
        <v>0</v>
      </c>
    </row>
    <row r="54" spans="1:14" x14ac:dyDescent="0.2">
      <c r="A54" t="s">
        <v>466</v>
      </c>
      <c r="B54" t="s">
        <v>360</v>
      </c>
      <c r="C54" t="s">
        <v>533</v>
      </c>
      <c r="D54" t="s">
        <v>362</v>
      </c>
      <c r="E54" t="s">
        <v>534</v>
      </c>
      <c r="F54" t="s">
        <v>364</v>
      </c>
      <c r="G54" t="s">
        <v>535</v>
      </c>
      <c r="H54" t="s">
        <v>360</v>
      </c>
      <c r="I54" t="s">
        <v>527</v>
      </c>
      <c r="J54" t="s">
        <v>367</v>
      </c>
      <c r="K54">
        <v>2000</v>
      </c>
      <c r="L54" t="s">
        <v>97</v>
      </c>
      <c r="M54" s="4">
        <f t="shared" si="0"/>
        <v>20</v>
      </c>
      <c r="N54" s="4" t="str">
        <f t="shared" si="1"/>
        <v>SELECT</v>
      </c>
    </row>
    <row r="55" spans="1:14" x14ac:dyDescent="0.2">
      <c r="A55" t="s">
        <v>468</v>
      </c>
      <c r="B55" t="s">
        <v>360</v>
      </c>
      <c r="C55" t="s">
        <v>533</v>
      </c>
      <c r="D55" t="s">
        <v>362</v>
      </c>
      <c r="E55" t="s">
        <v>534</v>
      </c>
      <c r="F55" t="s">
        <v>364</v>
      </c>
      <c r="G55" t="s">
        <v>535</v>
      </c>
      <c r="H55" t="s">
        <v>360</v>
      </c>
      <c r="I55" t="s">
        <v>527</v>
      </c>
      <c r="J55" t="s">
        <v>367</v>
      </c>
      <c r="K55">
        <v>2050</v>
      </c>
      <c r="L55" t="s">
        <v>97</v>
      </c>
      <c r="M55" s="4">
        <f t="shared" si="0"/>
        <v>20</v>
      </c>
      <c r="N55" s="4" t="b">
        <f t="shared" si="1"/>
        <v>0</v>
      </c>
    </row>
    <row r="56" spans="1:14" x14ac:dyDescent="0.2">
      <c r="A56" t="s">
        <v>470</v>
      </c>
      <c r="B56" t="s">
        <v>360</v>
      </c>
      <c r="C56" t="s">
        <v>533</v>
      </c>
      <c r="D56" t="s">
        <v>362</v>
      </c>
      <c r="E56" t="s">
        <v>534</v>
      </c>
      <c r="F56" t="s">
        <v>364</v>
      </c>
      <c r="G56" t="s">
        <v>535</v>
      </c>
      <c r="H56" t="s">
        <v>360</v>
      </c>
      <c r="I56" t="s">
        <v>528</v>
      </c>
      <c r="J56" t="s">
        <v>367</v>
      </c>
      <c r="K56">
        <v>2100</v>
      </c>
      <c r="L56" t="s">
        <v>97</v>
      </c>
      <c r="M56" s="4">
        <f t="shared" si="0"/>
        <v>21</v>
      </c>
      <c r="N56" s="4" t="b">
        <f t="shared" si="1"/>
        <v>0</v>
      </c>
    </row>
    <row r="57" spans="1:14" x14ac:dyDescent="0.2">
      <c r="A57" t="s">
        <v>472</v>
      </c>
      <c r="B57" t="s">
        <v>360</v>
      </c>
      <c r="C57" t="s">
        <v>533</v>
      </c>
      <c r="D57" t="s">
        <v>362</v>
      </c>
      <c r="E57" t="s">
        <v>534</v>
      </c>
      <c r="F57" t="s">
        <v>364</v>
      </c>
      <c r="G57" t="s">
        <v>535</v>
      </c>
      <c r="H57" t="s">
        <v>360</v>
      </c>
      <c r="I57" t="s">
        <v>528</v>
      </c>
      <c r="J57" t="s">
        <v>367</v>
      </c>
      <c r="K57">
        <v>2150</v>
      </c>
      <c r="L57" t="s">
        <v>97</v>
      </c>
      <c r="M57" s="4">
        <f t="shared" si="0"/>
        <v>21</v>
      </c>
      <c r="N57" s="4" t="b">
        <f t="shared" si="1"/>
        <v>0</v>
      </c>
    </row>
    <row r="58" spans="1:14" x14ac:dyDescent="0.2">
      <c r="A58" t="s">
        <v>474</v>
      </c>
      <c r="B58" t="s">
        <v>360</v>
      </c>
      <c r="C58" t="s">
        <v>533</v>
      </c>
      <c r="D58" t="s">
        <v>362</v>
      </c>
      <c r="E58" t="s">
        <v>534</v>
      </c>
      <c r="F58" t="s">
        <v>364</v>
      </c>
      <c r="G58" t="s">
        <v>535</v>
      </c>
      <c r="H58" t="s">
        <v>360</v>
      </c>
      <c r="I58" t="s">
        <v>529</v>
      </c>
      <c r="J58" t="s">
        <v>367</v>
      </c>
      <c r="K58">
        <v>2200</v>
      </c>
      <c r="L58" t="s">
        <v>97</v>
      </c>
      <c r="M58" s="4">
        <f t="shared" si="0"/>
        <v>22</v>
      </c>
      <c r="N58" s="4" t="b">
        <f t="shared" si="1"/>
        <v>0</v>
      </c>
    </row>
    <row r="59" spans="1:14" x14ac:dyDescent="0.2">
      <c r="A59" t="s">
        <v>476</v>
      </c>
      <c r="B59" t="s">
        <v>360</v>
      </c>
      <c r="C59" t="s">
        <v>533</v>
      </c>
      <c r="D59" t="s">
        <v>362</v>
      </c>
      <c r="E59" t="s">
        <v>534</v>
      </c>
      <c r="F59" t="s">
        <v>364</v>
      </c>
      <c r="G59" t="s">
        <v>535</v>
      </c>
      <c r="H59" t="s">
        <v>360</v>
      </c>
      <c r="I59" t="s">
        <v>529</v>
      </c>
      <c r="J59" t="s">
        <v>367</v>
      </c>
      <c r="K59">
        <v>2250</v>
      </c>
      <c r="L59" t="s">
        <v>97</v>
      </c>
      <c r="M59" s="4">
        <f t="shared" si="0"/>
        <v>22</v>
      </c>
      <c r="N59" s="4" t="b">
        <f t="shared" si="1"/>
        <v>0</v>
      </c>
    </row>
    <row r="60" spans="1:14" x14ac:dyDescent="0.2">
      <c r="A60" t="s">
        <v>478</v>
      </c>
      <c r="B60" t="s">
        <v>360</v>
      </c>
      <c r="C60" t="s">
        <v>533</v>
      </c>
      <c r="D60" t="s">
        <v>362</v>
      </c>
      <c r="E60" t="s">
        <v>534</v>
      </c>
      <c r="F60" t="s">
        <v>364</v>
      </c>
      <c r="G60" t="s">
        <v>535</v>
      </c>
      <c r="H60" t="s">
        <v>360</v>
      </c>
      <c r="I60" t="s">
        <v>529</v>
      </c>
      <c r="J60" t="s">
        <v>367</v>
      </c>
      <c r="K60">
        <v>2300</v>
      </c>
      <c r="L60" t="s">
        <v>97</v>
      </c>
      <c r="M60" s="4">
        <f t="shared" si="0"/>
        <v>22</v>
      </c>
      <c r="N60" s="4" t="b">
        <f t="shared" si="1"/>
        <v>0</v>
      </c>
    </row>
    <row r="61" spans="1:14" x14ac:dyDescent="0.2">
      <c r="A61" t="s">
        <v>480</v>
      </c>
      <c r="B61" t="s">
        <v>360</v>
      </c>
      <c r="C61" t="s">
        <v>533</v>
      </c>
      <c r="D61" t="s">
        <v>362</v>
      </c>
      <c r="E61" t="s">
        <v>534</v>
      </c>
      <c r="F61" t="s">
        <v>364</v>
      </c>
      <c r="G61" t="s">
        <v>535</v>
      </c>
      <c r="H61" t="s">
        <v>360</v>
      </c>
      <c r="I61" t="s">
        <v>531</v>
      </c>
      <c r="J61" t="s">
        <v>367</v>
      </c>
      <c r="K61">
        <v>2350</v>
      </c>
      <c r="L61" t="s">
        <v>97</v>
      </c>
      <c r="M61" s="4">
        <f t="shared" si="0"/>
        <v>24</v>
      </c>
      <c r="N61" s="4" t="b">
        <f t="shared" si="1"/>
        <v>0</v>
      </c>
    </row>
    <row r="62" spans="1:14" x14ac:dyDescent="0.2">
      <c r="A62" t="s">
        <v>482</v>
      </c>
      <c r="B62" t="s">
        <v>360</v>
      </c>
      <c r="C62" t="s">
        <v>533</v>
      </c>
      <c r="D62" t="s">
        <v>362</v>
      </c>
      <c r="E62" t="s">
        <v>534</v>
      </c>
      <c r="F62" t="s">
        <v>364</v>
      </c>
      <c r="G62" t="s">
        <v>535</v>
      </c>
      <c r="H62" t="s">
        <v>360</v>
      </c>
      <c r="I62" t="s">
        <v>531</v>
      </c>
      <c r="J62" t="s">
        <v>367</v>
      </c>
      <c r="K62">
        <v>2400</v>
      </c>
      <c r="L62" t="s">
        <v>97</v>
      </c>
      <c r="M62" s="4">
        <f t="shared" si="0"/>
        <v>24</v>
      </c>
      <c r="N62" s="4" t="b">
        <f t="shared" si="1"/>
        <v>0</v>
      </c>
    </row>
    <row r="63" spans="1:14" x14ac:dyDescent="0.2">
      <c r="A63" t="s">
        <v>483</v>
      </c>
      <c r="B63" t="s">
        <v>360</v>
      </c>
      <c r="C63" t="s">
        <v>533</v>
      </c>
      <c r="D63" t="s">
        <v>362</v>
      </c>
      <c r="E63" t="s">
        <v>534</v>
      </c>
      <c r="F63" t="s">
        <v>364</v>
      </c>
      <c r="G63" t="s">
        <v>535</v>
      </c>
      <c r="H63" t="s">
        <v>360</v>
      </c>
      <c r="I63" t="s">
        <v>531</v>
      </c>
      <c r="J63" t="s">
        <v>367</v>
      </c>
      <c r="K63">
        <v>2450</v>
      </c>
      <c r="L63" t="s">
        <v>97</v>
      </c>
      <c r="M63" s="4">
        <f t="shared" si="0"/>
        <v>24</v>
      </c>
      <c r="N63" s="4" t="b">
        <f t="shared" si="1"/>
        <v>0</v>
      </c>
    </row>
    <row r="64" spans="1:14" x14ac:dyDescent="0.2">
      <c r="A64" t="s">
        <v>484</v>
      </c>
      <c r="B64" t="s">
        <v>360</v>
      </c>
      <c r="C64" t="s">
        <v>533</v>
      </c>
      <c r="D64" t="s">
        <v>362</v>
      </c>
      <c r="E64" t="s">
        <v>534</v>
      </c>
      <c r="F64" t="s">
        <v>364</v>
      </c>
      <c r="G64" t="s">
        <v>535</v>
      </c>
      <c r="H64" t="s">
        <v>360</v>
      </c>
      <c r="I64" t="s">
        <v>531</v>
      </c>
      <c r="J64" t="s">
        <v>367</v>
      </c>
      <c r="K64">
        <v>2500</v>
      </c>
      <c r="L64" t="s">
        <v>97</v>
      </c>
      <c r="M64" s="4">
        <f t="shared" si="0"/>
        <v>24</v>
      </c>
      <c r="N64" s="4" t="b">
        <f t="shared" si="1"/>
        <v>0</v>
      </c>
    </row>
  </sheetData>
  <phoneticPr fontId="51" type="noConversion"/>
  <pageMargins left="0.25" right="0.25" top="0.75" bottom="0.65" header="0.3" footer="0.3"/>
  <headerFooter scaleWithDoc="0">
    <oddFooter xml:space="preserve">&amp;L&amp;"Arial"&amp;8 80-NH713-1 YG
&amp;C&amp;"Arial"&amp;8Confidential – Qualcomm Technologies, Inc. and/or its affiliated companies – May Contain Trade Secrets
&amp;"Arial,Bold"&amp;8MAY CONTAIN U.S. AND INTERNATIONAL EXPORT CONTROLLED INFORMATION&amp;R&amp;"Arial"&amp;8 &amp;P
</oddFooter>
  </headerFooter>
</worksheet>
</file>

<file path=customUI/customUI14.xml><?xml version="1.0" encoding="utf-8"?>
<!--Revision history details in eRoom; -->
<customUI xmlns="http://schemas.microsoft.com/office/2009/07/customui">
  <ribbon>
    <tabs>
      <!-- Our tab -->
      <tab id="OurTab" label="DSI Timing Program" insertBeforeMso="TabHome">
        <!-- StartHereGroup -->
        <group id="Video" label="Video Parameters">
          <button id="VidParamBn" label="Check" imageMso="AcceptInvitation" description="Click to calulate video parameters based on entered values." onAction="Bttn_VidParamCheck" size="large"/>
        </group>
        <group id="clock" label="t_clk_zero">
          <button id="ResetBn" label="Reset" imageMso="InkDeleteAllInk" description="Click to reset t_clk_zero." onAction="Bttn_Reset" size="large"/>
          <button id="ValidateBn" label="Validate" imageMso="AcceptInvitation" description="Click to validate t_clk_zero." onAction="Bttn_Validate" size="large"/>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Document" ma:contentTypeID="0x010100CEA3F42A0B384E42A42E3E3DC05A0646" ma:contentTypeVersion="4" ma:contentTypeDescription="Create a new document." ma:contentTypeScope="" ma:versionID="ddca994f9de7cd33e4a1684d94de678f">
  <xsd:schema xmlns:xsd="http://www.w3.org/2001/XMLSchema" xmlns:xs="http://www.w3.org/2001/XMLSchema" xmlns:p="http://schemas.microsoft.com/office/2006/metadata/properties" xmlns:ns2="89bfb5dd-cfc5-4195-bbf0-64d3cf54b312" targetNamespace="http://schemas.microsoft.com/office/2006/metadata/properties" ma:root="true" ma:fieldsID="39f85f91ef4e0c65a8f261355f8d38a8" ns2:_="">
    <xsd:import namespace="89bfb5dd-cfc5-4195-bbf0-64d3cf54b312"/>
    <xsd:element name="properties">
      <xsd:complexType>
        <xsd:sequence>
          <xsd:element name="documentManagement">
            <xsd:complexType>
              <xsd:all>
                <xsd:element ref="ns2:_dlc_DocId" minOccurs="0"/>
                <xsd:element ref="ns2:_dlc_DocIdUrl" minOccurs="0"/>
                <xsd:element ref="ns2: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9bfb5dd-cfc5-4195-bbf0-64d3cf54b312"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_dlc_DocId xmlns="89bfb5dd-cfc5-4195-bbf0-64d3cf54b312">AKWM2ZTUTVP6-2543-965</_dlc_DocId>
    <_dlc_DocIdUrl xmlns="89bfb5dd-cfc5-4195-bbf0-64d3cf54b312">
      <Url>https://sharepoint.qualcomm.com/qct/DHW/Cores/Multimedia/DS/SC/DSI/_layouts/15/DocIdRedir.aspx?ID=AKWM2ZTUTVP6-2543-965</Url>
      <Description>AKWM2ZTUTVP6-2543-965</Description>
    </_dlc_DocIdUrl>
  </documentManagement>
</p:properties>
</file>

<file path=customXml/itemProps1.xml><?xml version="1.0" encoding="utf-8"?>
<ds:datastoreItem xmlns:ds="http://schemas.openxmlformats.org/officeDocument/2006/customXml" ds:itemID="{69B924E1-E252-4034-B8AB-0F01884F0D9F}">
  <ds:schemaRefs>
    <ds:schemaRef ds:uri="http://schemas.microsoft.com/sharepoint/events"/>
  </ds:schemaRefs>
</ds:datastoreItem>
</file>

<file path=customXml/itemProps2.xml><?xml version="1.0" encoding="utf-8"?>
<ds:datastoreItem xmlns:ds="http://schemas.openxmlformats.org/officeDocument/2006/customXml" ds:itemID="{4957B007-F71A-4286-B419-3CA422CCEAF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9bfb5dd-cfc5-4195-bbf0-64d3cf54b31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3950C47-3956-4E86-B05B-E4C12FF697C7}">
  <ds:schemaRefs>
    <ds:schemaRef ds:uri="http://schemas.microsoft.com/sharepoint/v3/contenttype/forms"/>
  </ds:schemaRefs>
</ds:datastoreItem>
</file>

<file path=customXml/itemProps4.xml><?xml version="1.0" encoding="utf-8"?>
<ds:datastoreItem xmlns:ds="http://schemas.openxmlformats.org/officeDocument/2006/customXml" ds:itemID="{6C0DF2D6-B4AF-45CE-9F65-12B2E83F900D}">
  <ds:schemaRefs>
    <ds:schemaRef ds:uri="http://purl.org/dc/dcmitype/"/>
    <ds:schemaRef ds:uri="http://schemas.microsoft.com/office/infopath/2007/PartnerControls"/>
    <ds:schemaRef ds:uri="89bfb5dd-cfc5-4195-bbf0-64d3cf54b312"/>
    <ds:schemaRef ds:uri="http://schemas.microsoft.com/office/2006/documentManagement/types"/>
    <ds:schemaRef ds:uri="http://purl.org/dc/terms/"/>
    <ds:schemaRef ds:uri="http://purl.org/dc/elements/1.1/"/>
    <ds:schemaRef ds:uri="http://schemas.openxmlformats.org/package/2006/metadata/core-properties"/>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15</vt:i4>
      </vt:variant>
      <vt:variant>
        <vt:lpstr>命名范围</vt:lpstr>
      </vt:variant>
      <vt:variant>
        <vt:i4>50</vt:i4>
      </vt:variant>
    </vt:vector>
  </HeadingPairs>
  <TitlesOfParts>
    <vt:vector size="65" baseType="lpstr">
      <vt:lpstr>Rev. History</vt:lpstr>
      <vt:lpstr>User Instructions</vt:lpstr>
      <vt:lpstr>DSI and MDP registers</vt:lpstr>
      <vt:lpstr>DSI PHY timing setting</vt:lpstr>
      <vt:lpstr>DSI PHY 2.0.0 timing setting</vt:lpstr>
      <vt:lpstr>DSI PHY 3.0.0 DPHY timing</vt:lpstr>
      <vt:lpstr>DSI PHY 3.0.0 CPHY timing</vt:lpstr>
      <vt:lpstr>DSI PHY 4.0.0 DPHY timing</vt:lpstr>
      <vt:lpstr>DSI PHY 4.0.0 CPHY timing</vt:lpstr>
      <vt:lpstr>SDM439 DPHY timing</vt:lpstr>
      <vt:lpstr>T_HS_RQST</vt:lpstr>
      <vt:lpstr>GTP_clocklanes</vt:lpstr>
      <vt:lpstr>GTP_datalanes</vt:lpstr>
      <vt:lpstr>PREPARE_clocklanes</vt:lpstr>
      <vt:lpstr>PREPARE_datalanes</vt:lpstr>
      <vt:lpstr>DATA_RATE</vt:lpstr>
      <vt:lpstr>DELTA</vt:lpstr>
      <vt:lpstr>gtp_extension_clklane</vt:lpstr>
      <vt:lpstr>gtp_extension_clklane_factor</vt:lpstr>
      <vt:lpstr>gtp_extension_datalane</vt:lpstr>
      <vt:lpstr>gtp_extension_datalanes_factor</vt:lpstr>
      <vt:lpstr>HSTX_POFF_TIME</vt:lpstr>
      <vt:lpstr>HSTX_TEN_DELAY</vt:lpstr>
      <vt:lpstr>hstxhstrail_datalanes</vt:lpstr>
      <vt:lpstr>hstxthsclkpost_clklane</vt:lpstr>
      <vt:lpstr>hstxthsexit_clklane</vt:lpstr>
      <vt:lpstr>hstxthsexit_datalanes</vt:lpstr>
      <vt:lpstr>hstxthsprpr_clklane</vt:lpstr>
      <vt:lpstr>hstxthsprpr_datalanes</vt:lpstr>
      <vt:lpstr>hstxthsrqst_clklane</vt:lpstr>
      <vt:lpstr>hstxthsrqst_datalanes</vt:lpstr>
      <vt:lpstr>hstxthstrail_clklane</vt:lpstr>
      <vt:lpstr>hstxthszero_clklane</vt:lpstr>
      <vt:lpstr>hstxthszero_datalanes</vt:lpstr>
      <vt:lpstr>LPRX_IO_DELAY_RISE</vt:lpstr>
      <vt:lpstr>LPTX_IO_FALL_DELAY</vt:lpstr>
      <vt:lpstr>LPTX_IO_RISE_FALL_DELTA</vt:lpstr>
      <vt:lpstr>PHI</vt:lpstr>
      <vt:lpstr>PHY_MAJOR_VERSION</vt:lpstr>
      <vt:lpstr>PHY_MODE</vt:lpstr>
      <vt:lpstr>PHY_TIMING_MARGIN</vt:lpstr>
      <vt:lpstr>'DSI and MDP registers'!Print_Area</vt:lpstr>
      <vt:lpstr>'DSI PHY 2.0.0 timing setting'!Print_Area</vt:lpstr>
      <vt:lpstr>'DSI PHY 3.0.0 DPHY timing'!Print_Area</vt:lpstr>
      <vt:lpstr>'DSI PHY timing setting'!Print_Area</vt:lpstr>
      <vt:lpstr>'Rev. History'!Print_Area</vt:lpstr>
      <vt:lpstr>'User Instructions'!Print_Area</vt:lpstr>
      <vt:lpstr>T_CLK_POST</vt:lpstr>
      <vt:lpstr>T_CLK_TRAIL</vt:lpstr>
      <vt:lpstr>T_CLK_ZERO</vt:lpstr>
      <vt:lpstr>T_HS_EXIT</vt:lpstr>
      <vt:lpstr>T_HS_RQST</vt:lpstr>
      <vt:lpstr>T_HS_TRAIL</vt:lpstr>
      <vt:lpstr>T_HS_ZERO</vt:lpstr>
      <vt:lpstr>TLPX_EXT</vt:lpstr>
      <vt:lpstr>TLPX_SLAVE</vt:lpstr>
      <vt:lpstr>TLPX_SNPS</vt:lpstr>
      <vt:lpstr>ttago</vt:lpstr>
      <vt:lpstr>ttasure</vt:lpstr>
      <vt:lpstr>tx_byteclk_hs</vt:lpstr>
      <vt:lpstr>TXBYTECLKHS</vt:lpstr>
      <vt:lpstr>UI</vt:lpstr>
      <vt:lpstr>vRevisionDate</vt:lpstr>
      <vt:lpstr>WADDR_minus_RADDR</vt:lpstr>
      <vt:lpstr>Y_N</vt:lpstr>
    </vt:vector>
  </TitlesOfParts>
  <Company>Qualcomm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Qualcomm</dc:creator>
  <cp:lastModifiedBy>Barnett Wang(汪德龙)</cp:lastModifiedBy>
  <cp:lastPrinted>2016-08-10T15:17:21Z</cp:lastPrinted>
  <dcterms:created xsi:type="dcterms:W3CDTF">2009-08-29T21:51:38Z</dcterms:created>
  <dcterms:modified xsi:type="dcterms:W3CDTF">2023-04-12T05:34:12Z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0x010100CEA3F42A0B384E42A42E3E3DC05A0646</vt:lpwstr>
  </property>
  <property fmtid="{D5CDD505-2E9C-101B-9397-08002B2CF9AE}" pid="4" name="_dlc_DocIdItemGuid">
    <vt:lpwstr>3a829073-76c8-4420-92e7-64f539bd4a53</vt:lpwstr>
  </property>
</Properties>
</file>